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c/Downloads/"/>
    </mc:Choice>
  </mc:AlternateContent>
  <xr:revisionPtr revIDLastSave="0" documentId="13_ncr:1_{9585DB67-4F3B-8945-9FFC-62D1BCEECF8B}" xr6:coauthVersionLast="47" xr6:coauthVersionMax="47" xr10:uidLastSave="{00000000-0000-0000-0000-000000000000}"/>
  <bookViews>
    <workbookView xWindow="5980" yWindow="2880" windowWidth="27240" windowHeight="16180" xr2:uid="{3889CEC7-4770-F34D-88FF-0B03A5AF4CF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1" i="1" s="1"/>
  <c r="E1" i="1"/>
  <c r="AB36" i="1"/>
  <c r="AF34" i="1"/>
  <c r="U34" i="1"/>
  <c r="AN30" i="1"/>
  <c r="AI29" i="1"/>
  <c r="AH29" i="1"/>
  <c r="V29" i="1"/>
  <c r="U29" i="1"/>
  <c r="AJ29" i="1" s="1"/>
  <c r="AK29" i="1" s="1"/>
  <c r="AI27" i="1"/>
  <c r="V27" i="1"/>
  <c r="AD25" i="1"/>
  <c r="R25" i="1"/>
  <c r="AF24" i="1"/>
  <c r="AG24" i="1" s="1"/>
  <c r="T24" i="1"/>
  <c r="U24" i="1" s="1"/>
  <c r="AF23" i="1"/>
  <c r="AG23" i="1" s="1"/>
  <c r="T23" i="1"/>
  <c r="U23" i="1" s="1"/>
  <c r="AF22" i="1"/>
  <c r="T22" i="1"/>
  <c r="U22" i="1" s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G20" i="1" s="1"/>
  <c r="F17" i="1"/>
  <c r="E17" i="1"/>
  <c r="AI13" i="1"/>
  <c r="AI15" i="1" s="1"/>
  <c r="AH13" i="1"/>
  <c r="AH15" i="1" s="1"/>
  <c r="AG13" i="1"/>
  <c r="AG15" i="1" s="1"/>
  <c r="AF13" i="1"/>
  <c r="AF15" i="1" s="1"/>
  <c r="AE13" i="1"/>
  <c r="AE15" i="1" s="1"/>
  <c r="AD13" i="1"/>
  <c r="AD15" i="1" s="1"/>
  <c r="AC13" i="1"/>
  <c r="AC15" i="1" s="1"/>
  <c r="AB13" i="1"/>
  <c r="AB15" i="1" s="1"/>
  <c r="AA13" i="1"/>
  <c r="AA15" i="1" s="1"/>
  <c r="Z13" i="1"/>
  <c r="Z15" i="1" s="1"/>
  <c r="Y13" i="1"/>
  <c r="Y15" i="1" s="1"/>
  <c r="X13" i="1"/>
  <c r="X15" i="1" s="1"/>
  <c r="W13" i="1"/>
  <c r="W15" i="1" s="1"/>
  <c r="V13" i="1"/>
  <c r="V15" i="1" s="1"/>
  <c r="U13" i="1"/>
  <c r="U15" i="1" s="1"/>
  <c r="T13" i="1"/>
  <c r="T15" i="1" s="1"/>
  <c r="S13" i="1"/>
  <c r="S15" i="1" s="1"/>
  <c r="R13" i="1"/>
  <c r="R15" i="1" s="1"/>
  <c r="Q13" i="1"/>
  <c r="Q15" i="1" s="1"/>
  <c r="P13" i="1"/>
  <c r="P15" i="1" s="1"/>
  <c r="O13" i="1"/>
  <c r="O15" i="1" s="1"/>
  <c r="N13" i="1"/>
  <c r="N15" i="1" s="1"/>
  <c r="M13" i="1"/>
  <c r="M15" i="1" s="1"/>
  <c r="L13" i="1"/>
  <c r="L15" i="1" s="1"/>
  <c r="K13" i="1"/>
  <c r="K15" i="1" s="1"/>
  <c r="J13" i="1"/>
  <c r="J15" i="1" s="1"/>
  <c r="I13" i="1"/>
  <c r="I15" i="1" s="1"/>
  <c r="H13" i="1"/>
  <c r="H15" i="1" s="1"/>
  <c r="G13" i="1"/>
  <c r="F13" i="1"/>
  <c r="F15" i="1" s="1"/>
  <c r="E13" i="1"/>
  <c r="E15" i="1" s="1"/>
  <c r="AJ11" i="1"/>
  <c r="B11" i="1"/>
  <c r="AJ10" i="1"/>
  <c r="AJ9" i="1"/>
  <c r="AJ8" i="1"/>
  <c r="D4" i="1"/>
  <c r="W20" i="1" l="1"/>
  <c r="O20" i="1"/>
  <c r="AB20" i="1"/>
  <c r="T20" i="1"/>
  <c r="M20" i="1"/>
  <c r="U20" i="1"/>
  <c r="L20" i="1"/>
  <c r="AC20" i="1"/>
  <c r="E20" i="1"/>
  <c r="F20" i="1"/>
  <c r="N20" i="1"/>
  <c r="V20" i="1"/>
  <c r="AD20" i="1"/>
  <c r="AJ13" i="1"/>
  <c r="AK15" i="1" s="1"/>
  <c r="X20" i="1"/>
  <c r="I20" i="1"/>
  <c r="Y20" i="1"/>
  <c r="AG20" i="1"/>
  <c r="AK11" i="1"/>
  <c r="J20" i="1"/>
  <c r="R20" i="1"/>
  <c r="Z20" i="1"/>
  <c r="AH20" i="1"/>
  <c r="AF25" i="1"/>
  <c r="AL3" i="1" s="1"/>
  <c r="H20" i="1"/>
  <c r="P20" i="1"/>
  <c r="AF20" i="1"/>
  <c r="AH27" i="1"/>
  <c r="K20" i="1"/>
  <c r="S20" i="1"/>
  <c r="AA20" i="1"/>
  <c r="AI20" i="1"/>
  <c r="G2" i="1"/>
  <c r="AI22" i="1"/>
  <c r="AB25" i="1"/>
  <c r="AG26" i="1"/>
  <c r="U25" i="1"/>
  <c r="T33" i="1" s="1"/>
  <c r="G15" i="1"/>
  <c r="AJ15" i="1" s="1"/>
  <c r="Q20" i="1"/>
  <c r="P33" i="1" s="1"/>
  <c r="T25" i="1"/>
  <c r="U26" i="1" s="1"/>
  <c r="AK10" i="1"/>
  <c r="AC33" i="1"/>
  <c r="AB33" i="1" s="1"/>
  <c r="AB34" i="1" s="1"/>
  <c r="AE20" i="1"/>
  <c r="AF33" i="1" s="1"/>
  <c r="AF35" i="1" s="1"/>
  <c r="AG36" i="1" s="1"/>
  <c r="AG22" i="1"/>
  <c r="AG25" i="1" s="1"/>
  <c r="AG33" i="1" s="1"/>
  <c r="U27" i="1" l="1"/>
  <c r="AJ27" i="1" s="1"/>
  <c r="AK27" i="1" s="1"/>
  <c r="G1" i="1"/>
  <c r="H2" i="1"/>
  <c r="AI33" i="1"/>
  <c r="U33" i="1"/>
  <c r="U35" i="1" s="1"/>
  <c r="S33" i="1"/>
  <c r="S35" i="1" s="1"/>
  <c r="AJ25" i="1"/>
  <c r="I2" i="1" l="1"/>
  <c r="H1" i="1"/>
  <c r="I1" i="1" l="1"/>
  <c r="J2" i="1"/>
  <c r="K2" i="1" l="1"/>
  <c r="J1" i="1"/>
  <c r="K1" i="1" l="1"/>
  <c r="L2" i="1"/>
  <c r="L1" i="1" l="1"/>
  <c r="M2" i="1"/>
  <c r="M1" i="1" l="1"/>
  <c r="N2" i="1"/>
  <c r="O2" i="1" l="1"/>
  <c r="N1" i="1"/>
  <c r="O1" i="1" l="1"/>
  <c r="P2" i="1"/>
  <c r="P1" i="1" l="1"/>
  <c r="Q2" i="1"/>
  <c r="Q1" i="1" l="1"/>
  <c r="R2" i="1"/>
  <c r="S2" i="1" l="1"/>
  <c r="R1" i="1"/>
  <c r="S1" i="1" l="1"/>
  <c r="T2" i="1"/>
  <c r="T1" i="1" l="1"/>
  <c r="U2" i="1"/>
  <c r="U1" i="1" l="1"/>
  <c r="V2" i="1"/>
  <c r="V1" i="1" l="1"/>
  <c r="W2" i="1"/>
  <c r="W1" i="1" l="1"/>
  <c r="X2" i="1"/>
  <c r="X1" i="1" l="1"/>
  <c r="Y2" i="1"/>
  <c r="Y1" i="1" l="1"/>
  <c r="Z2" i="1"/>
  <c r="AA2" i="1" l="1"/>
  <c r="Z1" i="1"/>
  <c r="AA1" i="1" l="1"/>
  <c r="AB2" i="1"/>
  <c r="AB1" i="1" l="1"/>
  <c r="AC2" i="1"/>
  <c r="AC1" i="1" l="1"/>
  <c r="AD2" i="1"/>
  <c r="AE2" i="1" l="1"/>
  <c r="AD1" i="1"/>
  <c r="AE1" i="1" l="1"/>
  <c r="AF2" i="1"/>
  <c r="AG2" i="1" l="1"/>
  <c r="AF1" i="1"/>
  <c r="AG1" i="1" l="1"/>
  <c r="AH2" i="1"/>
  <c r="AI2" i="1" l="1"/>
  <c r="AI1" i="1" s="1"/>
  <c r="AH1" i="1"/>
</calcChain>
</file>

<file path=xl/sharedStrings.xml><?xml version="1.0" encoding="utf-8"?>
<sst xmlns="http://schemas.openxmlformats.org/spreadsheetml/2006/main" count="48" uniqueCount="31">
  <si>
    <t>Client Name</t>
  </si>
  <si>
    <t>Days in month</t>
  </si>
  <si>
    <t>rate $/hr</t>
  </si>
  <si>
    <t>Homemaking hours</t>
  </si>
  <si>
    <t>Personal Care Hours</t>
  </si>
  <si>
    <t>Respite hours</t>
  </si>
  <si>
    <t>Adj. hrs</t>
  </si>
  <si>
    <t>AHS#</t>
  </si>
  <si>
    <t xml:space="preserve">Calculation </t>
  </si>
  <si>
    <t>Total</t>
  </si>
  <si>
    <t>Claim/day</t>
  </si>
  <si>
    <t>Homemaking $$</t>
  </si>
  <si>
    <t>Personal Care $$</t>
  </si>
  <si>
    <t>Respite $$</t>
  </si>
  <si>
    <t xml:space="preserve">TotaL $$ </t>
  </si>
  <si>
    <t>claimed</t>
  </si>
  <si>
    <t>claimed 1-15</t>
  </si>
  <si>
    <t>claimed 16-31</t>
  </si>
  <si>
    <t>total</t>
  </si>
  <si>
    <t>check</t>
  </si>
  <si>
    <t>claimed/calculated $ BlueCross</t>
  </si>
  <si>
    <t>Calculated Claimed hours</t>
  </si>
  <si>
    <t>Calculated Claimed $$</t>
  </si>
  <si>
    <t>4152.90 agrees with 5.1-15 BC hours total</t>
  </si>
  <si>
    <t>difference ok</t>
  </si>
  <si>
    <t>8.22 claim</t>
  </si>
  <si>
    <t>4305.18 hours matches adjusted CT 8.16-31 hrs</t>
  </si>
  <si>
    <t>8.24 payment</t>
  </si>
  <si>
    <t>John Doe</t>
  </si>
  <si>
    <t>Family Number</t>
  </si>
  <si>
    <t>Client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</si>
</sst>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9" tint="0.79985961485641044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2" fontId="0" fillId="0" borderId="0" xfId="0" applyNumberFormat="1"/>
    <xf numFmtId="0" fontId="2" fillId="3" borderId="4" xfId="0" applyFont="1" applyFill="1" applyBorder="1"/>
    <xf numFmtId="0" fontId="2" fillId="4" borderId="5" xfId="0" applyFont="1" applyFill="1" applyBorder="1"/>
    <xf numFmtId="0" fontId="2" fillId="4" borderId="0" xfId="0" applyFont="1" applyFill="1"/>
    <xf numFmtId="0" fontId="2" fillId="0" borderId="0" xfId="0" applyFont="1"/>
    <xf numFmtId="0" fontId="0" fillId="0" borderId="6" xfId="0" applyBorder="1"/>
    <xf numFmtId="0" fontId="2" fillId="0" borderId="4" xfId="0" applyFont="1" applyBorder="1"/>
    <xf numFmtId="2" fontId="3" fillId="5" borderId="5" xfId="0" applyNumberFormat="1" applyFont="1" applyFill="1" applyBorder="1"/>
    <xf numFmtId="2" fontId="3" fillId="5" borderId="0" xfId="0" applyNumberFormat="1" applyFont="1" applyFill="1"/>
    <xf numFmtId="0" fontId="0" fillId="6" borderId="3" xfId="0" applyFill="1" applyBorder="1"/>
    <xf numFmtId="2" fontId="0" fillId="7" borderId="5" xfId="0" applyNumberFormat="1" applyFill="1" applyBorder="1"/>
    <xf numFmtId="2" fontId="0" fillId="7" borderId="0" xfId="0" applyNumberFormat="1" applyFill="1"/>
    <xf numFmtId="2" fontId="0" fillId="8" borderId="7" xfId="0" applyNumberFormat="1" applyFill="1" applyBorder="1"/>
    <xf numFmtId="2" fontId="0" fillId="8" borderId="8" xfId="0" applyNumberFormat="1" applyFill="1" applyBorder="1"/>
    <xf numFmtId="2" fontId="0" fillId="0" borderId="6" xfId="0" applyNumberFormat="1" applyBorder="1"/>
    <xf numFmtId="2" fontId="2" fillId="0" borderId="0" xfId="0" applyNumberFormat="1" applyFont="1"/>
    <xf numFmtId="2" fontId="0" fillId="0" borderId="5" xfId="0" applyNumberFormat="1" applyBorder="1"/>
    <xf numFmtId="2" fontId="0" fillId="8" borderId="9" xfId="0" applyNumberFormat="1" applyFill="1" applyBorder="1"/>
    <xf numFmtId="2" fontId="0" fillId="8" borderId="10" xfId="0" applyNumberFormat="1" applyFill="1" applyBorder="1"/>
    <xf numFmtId="0" fontId="2" fillId="0" borderId="11" xfId="0" applyFont="1" applyBorder="1"/>
    <xf numFmtId="0" fontId="2" fillId="0" borderId="7" xfId="0" applyFont="1" applyBorder="1"/>
    <xf numFmtId="0" fontId="2" fillId="0" borderId="12" xfId="0" applyFont="1" applyBorder="1"/>
    <xf numFmtId="2" fontId="2" fillId="0" borderId="12" xfId="0" applyNumberFormat="1" applyFont="1" applyBorder="1"/>
    <xf numFmtId="2" fontId="4" fillId="0" borderId="13" xfId="0" applyNumberFormat="1" applyFont="1" applyBorder="1" applyAlignment="1">
      <alignment wrapText="1"/>
    </xf>
    <xf numFmtId="2" fontId="4" fillId="0" borderId="14" xfId="0" applyNumberFormat="1" applyFont="1" applyBorder="1" applyAlignment="1">
      <alignment wrapText="1"/>
    </xf>
    <xf numFmtId="2" fontId="0" fillId="0" borderId="13" xfId="0" applyNumberFormat="1" applyBorder="1"/>
    <xf numFmtId="0" fontId="4" fillId="0" borderId="13" xfId="0" applyFont="1" applyBorder="1"/>
    <xf numFmtId="0" fontId="2" fillId="0" borderId="5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2" fontId="2" fillId="0" borderId="18" xfId="0" applyNumberFormat="1" applyFont="1" applyBorder="1"/>
    <xf numFmtId="2" fontId="5" fillId="0" borderId="13" xfId="0" applyNumberFormat="1" applyFont="1" applyBorder="1"/>
    <xf numFmtId="2" fontId="2" fillId="0" borderId="5" xfId="0" applyNumberFormat="1" applyFont="1" applyBorder="1"/>
    <xf numFmtId="2" fontId="6" fillId="0" borderId="0" xfId="0" applyNumberFormat="1" applyFont="1"/>
    <xf numFmtId="2" fontId="0" fillId="9" borderId="6" xfId="0" applyNumberFormat="1" applyFill="1" applyBorder="1"/>
    <xf numFmtId="2" fontId="0" fillId="10" borderId="0" xfId="0" applyNumberFormat="1" applyFill="1"/>
    <xf numFmtId="2" fontId="3" fillId="0" borderId="5" xfId="0" applyNumberFormat="1" applyFont="1" applyBorder="1"/>
    <xf numFmtId="2" fontId="3" fillId="0" borderId="0" xfId="0" applyNumberFormat="1" applyFont="1"/>
    <xf numFmtId="2" fontId="3" fillId="10" borderId="0" xfId="0" applyNumberFormat="1" applyFont="1" applyFill="1"/>
    <xf numFmtId="2" fontId="2" fillId="8" borderId="0" xfId="0" applyNumberFormat="1" applyFont="1" applyFill="1"/>
    <xf numFmtId="2" fontId="2" fillId="6" borderId="0" xfId="0" applyNumberFormat="1" applyFont="1" applyFill="1"/>
    <xf numFmtId="2" fontId="2" fillId="2" borderId="0" xfId="0" applyNumberFormat="1" applyFont="1" applyFill="1"/>
    <xf numFmtId="2" fontId="3" fillId="0" borderId="6" xfId="0" applyNumberFormat="1" applyFont="1" applyBorder="1"/>
    <xf numFmtId="2" fontId="5" fillId="0" borderId="0" xfId="0" applyNumberFormat="1" applyFont="1"/>
    <xf numFmtId="2" fontId="0" fillId="11" borderId="0" xfId="0" applyNumberFormat="1" applyFill="1"/>
    <xf numFmtId="2" fontId="5" fillId="8" borderId="0" xfId="0" applyNumberFormat="1" applyFont="1" applyFill="1"/>
    <xf numFmtId="2" fontId="5" fillId="8" borderId="5" xfId="0" applyNumberFormat="1" applyFont="1" applyFill="1" applyBorder="1"/>
    <xf numFmtId="2" fontId="0" fillId="8" borderId="5" xfId="0" applyNumberFormat="1" applyFill="1" applyBorder="1"/>
    <xf numFmtId="2" fontId="0" fillId="6" borderId="5" xfId="0" applyNumberFormat="1" applyFill="1" applyBorder="1"/>
    <xf numFmtId="2" fontId="0" fillId="9" borderId="0" xfId="0" applyNumberFormat="1" applyFill="1"/>
    <xf numFmtId="2" fontId="2" fillId="10" borderId="0" xfId="0" applyNumberFormat="1" applyFont="1" applyFill="1"/>
    <xf numFmtId="0" fontId="0" fillId="0" borderId="5" xfId="0" applyBorder="1"/>
    <xf numFmtId="2" fontId="0" fillId="5" borderId="19" xfId="0" applyNumberFormat="1" applyFill="1" applyBorder="1"/>
    <xf numFmtId="2" fontId="0" fillId="2" borderId="20" xfId="0" applyNumberFormat="1" applyFill="1" applyBorder="1"/>
    <xf numFmtId="2" fontId="2" fillId="5" borderId="7" xfId="0" applyNumberFormat="1" applyFont="1" applyFill="1" applyBorder="1"/>
    <xf numFmtId="2" fontId="2" fillId="9" borderId="12" xfId="0" applyNumberFormat="1" applyFont="1" applyFill="1" applyBorder="1"/>
    <xf numFmtId="2" fontId="2" fillId="9" borderId="8" xfId="0" applyNumberFormat="1" applyFont="1" applyFill="1" applyBorder="1"/>
    <xf numFmtId="2" fontId="2" fillId="5" borderId="21" xfId="0" applyNumberFormat="1" applyFont="1" applyFill="1" applyBorder="1"/>
    <xf numFmtId="2" fontId="2" fillId="9" borderId="22" xfId="0" applyNumberFormat="1" applyFont="1" applyFill="1" applyBorder="1"/>
    <xf numFmtId="2" fontId="0" fillId="12" borderId="23" xfId="0" applyNumberFormat="1" applyFill="1" applyBorder="1"/>
    <xf numFmtId="0" fontId="6" fillId="0" borderId="5" xfId="0" applyFont="1" applyBorder="1"/>
    <xf numFmtId="0" fontId="6" fillId="0" borderId="0" xfId="0" applyFont="1"/>
    <xf numFmtId="2" fontId="0" fillId="5" borderId="24" xfId="0" applyNumberFormat="1" applyFill="1" applyBorder="1"/>
    <xf numFmtId="2" fontId="0" fillId="2" borderId="25" xfId="0" applyNumberFormat="1" applyFill="1" applyBorder="1"/>
    <xf numFmtId="2" fontId="2" fillId="5" borderId="15" xfId="0" applyNumberFormat="1" applyFont="1" applyFill="1" applyBorder="1"/>
    <xf numFmtId="2" fontId="2" fillId="9" borderId="0" xfId="0" applyNumberFormat="1" applyFont="1" applyFill="1"/>
    <xf numFmtId="2" fontId="2" fillId="9" borderId="26" xfId="0" applyNumberFormat="1" applyFont="1" applyFill="1" applyBorder="1"/>
    <xf numFmtId="2" fontId="2" fillId="5" borderId="27" xfId="0" applyNumberFormat="1" applyFont="1" applyFill="1" applyBorder="1"/>
    <xf numFmtId="2" fontId="2" fillId="9" borderId="28" xfId="0" applyNumberFormat="1" applyFont="1" applyFill="1" applyBorder="1"/>
    <xf numFmtId="2" fontId="0" fillId="12" borderId="0" xfId="0" applyNumberFormat="1" applyFill="1"/>
    <xf numFmtId="2" fontId="0" fillId="5" borderId="29" xfId="0" applyNumberFormat="1" applyFill="1" applyBorder="1"/>
    <xf numFmtId="2" fontId="2" fillId="5" borderId="0" xfId="0" applyNumberFormat="1" applyFont="1" applyFill="1"/>
    <xf numFmtId="0" fontId="2" fillId="5" borderId="30" xfId="0" applyFont="1" applyFill="1" applyBorder="1"/>
    <xf numFmtId="2" fontId="0" fillId="3" borderId="31" xfId="0" applyNumberFormat="1" applyFill="1" applyBorder="1"/>
    <xf numFmtId="0" fontId="2" fillId="5" borderId="18" xfId="0" applyFont="1" applyFill="1" applyBorder="1"/>
    <xf numFmtId="2" fontId="2" fillId="2" borderId="18" xfId="0" applyNumberFormat="1" applyFont="1" applyFill="1" applyBorder="1"/>
    <xf numFmtId="2" fontId="2" fillId="9" borderId="32" xfId="0" applyNumberFormat="1" applyFont="1" applyFill="1" applyBorder="1"/>
    <xf numFmtId="2" fontId="0" fillId="0" borderId="33" xfId="0" applyNumberFormat="1" applyBorder="1"/>
    <xf numFmtId="2" fontId="0" fillId="0" borderId="23" xfId="0" applyNumberFormat="1" applyBorder="1"/>
    <xf numFmtId="2" fontId="0" fillId="8" borderId="33" xfId="0" applyNumberFormat="1" applyFill="1" applyBorder="1"/>
    <xf numFmtId="2" fontId="0" fillId="8" borderId="0" xfId="0" applyNumberFormat="1" applyFill="1"/>
    <xf numFmtId="2" fontId="2" fillId="2" borderId="34" xfId="0" applyNumberFormat="1" applyFont="1" applyFill="1" applyBorder="1"/>
    <xf numFmtId="2" fontId="2" fillId="2" borderId="32" xfId="0" applyNumberFormat="1" applyFont="1" applyFill="1" applyBorder="1"/>
    <xf numFmtId="0" fontId="6" fillId="0" borderId="35" xfId="0" applyFont="1" applyBorder="1"/>
    <xf numFmtId="0" fontId="6" fillId="0" borderId="33" xfId="0" applyFont="1" applyBorder="1"/>
    <xf numFmtId="0" fontId="0" fillId="0" borderId="33" xfId="0" applyBorder="1"/>
    <xf numFmtId="2" fontId="0" fillId="12" borderId="33" xfId="0" applyNumberFormat="1" applyFill="1" applyBorder="1"/>
    <xf numFmtId="0" fontId="0" fillId="0" borderId="4" xfId="0" applyBorder="1"/>
    <xf numFmtId="0" fontId="0" fillId="3" borderId="4" xfId="0" applyFill="1" applyBorder="1"/>
    <xf numFmtId="0" fontId="5" fillId="0" borderId="0" xfId="0" applyFont="1"/>
    <xf numFmtId="0" fontId="0" fillId="0" borderId="36" xfId="0" applyBorder="1"/>
    <xf numFmtId="0" fontId="0" fillId="0" borderId="12" xfId="0" applyBorder="1"/>
    <xf numFmtId="0" fontId="2" fillId="0" borderId="8" xfId="0" applyFont="1" applyBorder="1"/>
    <xf numFmtId="2" fontId="0" fillId="2" borderId="37" xfId="0" applyNumberFormat="1" applyFill="1" applyBorder="1"/>
    <xf numFmtId="0" fontId="0" fillId="2" borderId="18" xfId="0" applyFill="1" applyBorder="1"/>
    <xf numFmtId="0" fontId="2" fillId="2" borderId="0" xfId="0" applyFont="1" applyFill="1"/>
    <xf numFmtId="0" fontId="0" fillId="3" borderId="0" xfId="0" applyFill="1"/>
    <xf numFmtId="2" fontId="0" fillId="2" borderId="0" xfId="0" applyNumberFormat="1" applyFill="1"/>
    <xf numFmtId="0" fontId="0" fillId="13" borderId="0" xfId="0" applyFill="1" applyAlignment="1">
      <alignment horizontal="center" vertical="center"/>
    </xf>
    <xf numFmtId="2" fontId="0" fillId="14" borderId="38" xfId="0" applyNumberFormat="1" applyFill="1" applyBorder="1"/>
    <xf numFmtId="16" fontId="7" fillId="2" borderId="0" xfId="0" applyNumberFormat="1" applyFont="1" applyFill="1" applyAlignment="1">
      <alignment horizontal="center" vertical="center"/>
    </xf>
    <xf numFmtId="16" fontId="7" fillId="1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C%20Zhou%20Firm/C%20Zhou%20Accounting%20CPA%20CGA/accounting%20clients/accounting%20clients/Canada%20Caregiving%20Org/Caregiving%20Foundation/Payroll%20and%20hours/BC%20claims/2026%2008/08.01-15/KYC/LY%20Claimed%20Filled%208.1-15%20KYC%20BC%20hours.xlsm" TargetMode="External"/><Relationship Id="rId1" Type="http://schemas.openxmlformats.org/officeDocument/2006/relationships/externalLinkPath" Target="file:///C:/C%20Zhou%20Firm/C%20Zhou%20Accounting%20CPA%20CGA/accounting%20clients/accounting%20clients/Canada%20Caregiving%20Org/Caregiving%20Foundation/Payroll%20and%20hours/BC%20claims/2026%2008/08.01-15/KYC/LY%20Claimed%20Filled%208.1-15%20KYC%20BC%20hou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T Original 2026 04 15 claim"/>
      <sheetName val="Input_1_15"/>
      <sheetName val="Ana_1_15"/>
      <sheetName val="Input_16_31"/>
      <sheetName val="Ana_16_31"/>
      <sheetName val="Family# Client# Chart"/>
      <sheetName val="temp"/>
      <sheetName val="Family_Client_Output"/>
      <sheetName val="Dont Use 2026 03 31 claim bkup"/>
      <sheetName val="Sheet1"/>
    </sheetNames>
    <sheetDataSet>
      <sheetData sheetId="0" refreshError="1">
        <row r="2851">
          <cell r="S2851">
            <v>4152.8999999999996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0CEA-16F5-4D48-AD69-A4F10C6AC957}">
  <dimension ref="A1:AN36"/>
  <sheetViews>
    <sheetView tabSelected="1" topLeftCell="B1" workbookViewId="0">
      <selection activeCell="G7" sqref="G7"/>
    </sheetView>
  </sheetViews>
  <sheetFormatPr baseColWidth="10" defaultRowHeight="16" x14ac:dyDescent="0.2"/>
  <sheetData>
    <row r="1" spans="1:40" x14ac:dyDescent="0.2">
      <c r="E1" s="106" t="str">
        <f t="shared" ref="E1:AI1" si="0">TEXT(E2,"ddd")</f>
        <v>Thu</v>
      </c>
      <c r="F1" s="106" t="str">
        <f t="shared" si="0"/>
        <v>Fri</v>
      </c>
      <c r="G1" s="106" t="str">
        <f t="shared" si="0"/>
        <v>Sat</v>
      </c>
      <c r="H1" s="106" t="str">
        <f t="shared" si="0"/>
        <v>Sun</v>
      </c>
      <c r="I1" s="106" t="str">
        <f t="shared" si="0"/>
        <v>Mon</v>
      </c>
      <c r="J1" s="106" t="str">
        <f t="shared" si="0"/>
        <v>Tue</v>
      </c>
      <c r="K1" s="106" t="str">
        <f t="shared" si="0"/>
        <v>Wed</v>
      </c>
      <c r="L1" s="106" t="str">
        <f t="shared" si="0"/>
        <v>Thu</v>
      </c>
      <c r="M1" s="106" t="str">
        <f t="shared" si="0"/>
        <v>Fri</v>
      </c>
      <c r="N1" s="106" t="str">
        <f t="shared" si="0"/>
        <v>Sat</v>
      </c>
      <c r="O1" s="106" t="str">
        <f t="shared" si="0"/>
        <v>Sun</v>
      </c>
      <c r="P1" s="106" t="str">
        <f t="shared" si="0"/>
        <v>Mon</v>
      </c>
      <c r="Q1" s="106" t="str">
        <f t="shared" si="0"/>
        <v>Tue</v>
      </c>
      <c r="R1" s="106" t="str">
        <f t="shared" si="0"/>
        <v>Wed</v>
      </c>
      <c r="S1" s="106" t="str">
        <f t="shared" si="0"/>
        <v>Thu</v>
      </c>
      <c r="T1" s="106" t="str">
        <f t="shared" si="0"/>
        <v>Fri</v>
      </c>
      <c r="U1" s="106" t="str">
        <f t="shared" si="0"/>
        <v>Sat</v>
      </c>
      <c r="V1" s="106" t="str">
        <f t="shared" si="0"/>
        <v>Sun</v>
      </c>
      <c r="W1" s="106" t="str">
        <f t="shared" si="0"/>
        <v>Mon</v>
      </c>
      <c r="X1" s="106" t="str">
        <f t="shared" si="0"/>
        <v>Tue</v>
      </c>
      <c r="Y1" s="106" t="str">
        <f t="shared" si="0"/>
        <v>Wed</v>
      </c>
      <c r="Z1" s="106" t="str">
        <f t="shared" si="0"/>
        <v>Thu</v>
      </c>
      <c r="AA1" s="106" t="str">
        <f t="shared" si="0"/>
        <v>Fri</v>
      </c>
      <c r="AB1" s="106" t="str">
        <f t="shared" si="0"/>
        <v>Sat</v>
      </c>
      <c r="AC1" s="106" t="str">
        <f t="shared" si="0"/>
        <v>Sun</v>
      </c>
      <c r="AD1" s="106" t="str">
        <f t="shared" si="0"/>
        <v>Mon</v>
      </c>
      <c r="AE1" s="106" t="str">
        <f t="shared" si="0"/>
        <v>Tue</v>
      </c>
      <c r="AF1" s="106" t="str">
        <f t="shared" si="0"/>
        <v>Wed</v>
      </c>
      <c r="AG1" s="106" t="str">
        <f t="shared" si="0"/>
        <v>Thu</v>
      </c>
      <c r="AH1" s="106" t="str">
        <f t="shared" si="0"/>
        <v>Fri</v>
      </c>
      <c r="AI1" s="106" t="str">
        <f t="shared" si="0"/>
        <v>Sat</v>
      </c>
    </row>
    <row r="2" spans="1:40" x14ac:dyDescent="0.2">
      <c r="A2" s="10" t="s">
        <v>29</v>
      </c>
      <c r="B2" s="10" t="s">
        <v>30</v>
      </c>
      <c r="D2" s="107">
        <v>34.03</v>
      </c>
      <c r="E2" s="108">
        <v>46296</v>
      </c>
      <c r="F2" s="109">
        <f>IFERROR(IF(E2=EOMONTH(E2,0),"",E2+1),"")</f>
        <v>46297</v>
      </c>
      <c r="G2" s="109">
        <f t="shared" ref="G2:AI2" si="1">IFERROR(IF(F2=EOMONTH(F2,0),"",F2+1),"")</f>
        <v>46298</v>
      </c>
      <c r="H2" s="109">
        <f t="shared" si="1"/>
        <v>46299</v>
      </c>
      <c r="I2" s="109">
        <f t="shared" si="1"/>
        <v>46300</v>
      </c>
      <c r="J2" s="109">
        <f t="shared" si="1"/>
        <v>46301</v>
      </c>
      <c r="K2" s="109">
        <f t="shared" si="1"/>
        <v>46302</v>
      </c>
      <c r="L2" s="109">
        <f t="shared" si="1"/>
        <v>46303</v>
      </c>
      <c r="M2" s="109">
        <f t="shared" si="1"/>
        <v>46304</v>
      </c>
      <c r="N2" s="109">
        <f t="shared" si="1"/>
        <v>46305</v>
      </c>
      <c r="O2" s="109">
        <f t="shared" si="1"/>
        <v>46306</v>
      </c>
      <c r="P2" s="109">
        <f t="shared" si="1"/>
        <v>46307</v>
      </c>
      <c r="Q2" s="109">
        <f>IFERROR(IF(P2=EOMONTH(P2,0),"",P2+1),"")</f>
        <v>46308</v>
      </c>
      <c r="R2" s="109">
        <f t="shared" si="1"/>
        <v>46309</v>
      </c>
      <c r="S2" s="109">
        <f t="shared" si="1"/>
        <v>46310</v>
      </c>
      <c r="T2" s="109">
        <f t="shared" si="1"/>
        <v>46311</v>
      </c>
      <c r="U2" s="109">
        <f t="shared" si="1"/>
        <v>46312</v>
      </c>
      <c r="V2" s="109">
        <f t="shared" si="1"/>
        <v>46313</v>
      </c>
      <c r="W2" s="109">
        <f t="shared" si="1"/>
        <v>46314</v>
      </c>
      <c r="X2" s="109">
        <f t="shared" si="1"/>
        <v>46315</v>
      </c>
      <c r="Y2" s="109">
        <f t="shared" si="1"/>
        <v>46316</v>
      </c>
      <c r="Z2" s="109">
        <f t="shared" si="1"/>
        <v>46317</v>
      </c>
      <c r="AA2" s="109">
        <f t="shared" si="1"/>
        <v>46318</v>
      </c>
      <c r="AB2" s="109">
        <f t="shared" si="1"/>
        <v>46319</v>
      </c>
      <c r="AC2" s="109">
        <f t="shared" si="1"/>
        <v>46320</v>
      </c>
      <c r="AD2" s="109">
        <f t="shared" si="1"/>
        <v>46321</v>
      </c>
      <c r="AE2" s="109">
        <f t="shared" si="1"/>
        <v>46322</v>
      </c>
      <c r="AF2" s="109">
        <f t="shared" si="1"/>
        <v>46323</v>
      </c>
      <c r="AG2" s="109">
        <f t="shared" si="1"/>
        <v>46324</v>
      </c>
      <c r="AH2" s="109">
        <f t="shared" si="1"/>
        <v>46325</v>
      </c>
      <c r="AI2" s="109">
        <f t="shared" si="1"/>
        <v>46326</v>
      </c>
    </row>
    <row r="3" spans="1:40" x14ac:dyDescent="0.2">
      <c r="A3" s="1">
        <v>0</v>
      </c>
      <c r="B3" s="2">
        <v>0</v>
      </c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5"/>
      <c r="AL3" s="6">
        <f>AF25</f>
        <v>0</v>
      </c>
      <c r="AM3" s="7"/>
      <c r="AN3" s="7"/>
    </row>
    <row r="4" spans="1:40" x14ac:dyDescent="0.2">
      <c r="A4" s="8"/>
      <c r="B4" s="9"/>
      <c r="C4" s="10"/>
      <c r="D4">
        <f>B6/D6</f>
        <v>0</v>
      </c>
      <c r="AK4" s="11"/>
      <c r="AN4" s="12"/>
    </row>
    <row r="5" spans="1:40" ht="17" thickBot="1" x14ac:dyDescent="0.25">
      <c r="A5" s="13"/>
      <c r="B5" s="14" t="s">
        <v>0</v>
      </c>
      <c r="C5" t="s">
        <v>28</v>
      </c>
      <c r="D5" s="15" t="s">
        <v>1</v>
      </c>
      <c r="AK5" s="11"/>
      <c r="AN5" s="12"/>
    </row>
    <row r="6" spans="1:40" x14ac:dyDescent="0.2">
      <c r="A6" s="16"/>
      <c r="B6" s="17"/>
      <c r="C6" s="18"/>
      <c r="D6" s="19">
        <v>31</v>
      </c>
      <c r="AJ6" s="6"/>
      <c r="AK6" s="20"/>
      <c r="AL6" s="6"/>
      <c r="AM6" s="6"/>
      <c r="AN6" s="21"/>
    </row>
    <row r="7" spans="1:40" ht="17" thickBot="1" x14ac:dyDescent="0.25">
      <c r="A7" s="22"/>
      <c r="B7" s="6"/>
      <c r="C7" s="23" t="s">
        <v>2</v>
      </c>
      <c r="D7" s="24">
        <v>34.03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20"/>
      <c r="AL7" s="6"/>
      <c r="AM7" s="6"/>
      <c r="AN7" s="21"/>
    </row>
    <row r="8" spans="1:40" x14ac:dyDescent="0.2">
      <c r="A8" s="25"/>
      <c r="B8" s="26" t="s">
        <v>3</v>
      </c>
      <c r="C8" s="27"/>
      <c r="D8" s="28"/>
      <c r="E8" s="29"/>
      <c r="F8" s="29">
        <v>3</v>
      </c>
      <c r="G8" s="29"/>
      <c r="H8" s="29"/>
      <c r="I8" s="29">
        <v>2</v>
      </c>
      <c r="J8" s="29"/>
      <c r="K8" s="29"/>
      <c r="L8" s="29"/>
      <c r="M8" s="29"/>
      <c r="N8" s="29">
        <v>1</v>
      </c>
      <c r="O8" s="29">
        <v>2</v>
      </c>
      <c r="P8" s="29">
        <v>3</v>
      </c>
      <c r="Q8" s="29"/>
      <c r="R8" s="29"/>
      <c r="S8" s="30"/>
      <c r="T8" s="31"/>
      <c r="U8" s="31"/>
      <c r="V8" s="31"/>
      <c r="W8" s="31"/>
      <c r="X8" s="31"/>
      <c r="Y8" s="32"/>
      <c r="Z8" s="31"/>
      <c r="AA8" s="31"/>
      <c r="AB8" s="31"/>
      <c r="AC8" s="31"/>
      <c r="AD8" s="31"/>
      <c r="AE8" s="31"/>
      <c r="AF8" s="32"/>
      <c r="AG8" s="31"/>
      <c r="AH8" s="31"/>
      <c r="AI8" s="31"/>
      <c r="AJ8" s="6">
        <f>SUM(E8:AI8)</f>
        <v>11</v>
      </c>
      <c r="AK8" s="20"/>
      <c r="AL8" s="6"/>
      <c r="AM8" s="6"/>
      <c r="AN8" s="21"/>
    </row>
    <row r="9" spans="1:40" x14ac:dyDescent="0.2">
      <c r="A9" s="33"/>
      <c r="B9" s="34" t="s">
        <v>4</v>
      </c>
      <c r="C9" s="10"/>
      <c r="D9" s="21">
        <v>19.53</v>
      </c>
      <c r="E9" s="29">
        <v>4</v>
      </c>
      <c r="F9" s="29"/>
      <c r="G9" s="29"/>
      <c r="H9" s="29">
        <v>3.5</v>
      </c>
      <c r="I9" s="29"/>
      <c r="J9" s="29">
        <v>3.5</v>
      </c>
      <c r="K9" s="29">
        <v>4</v>
      </c>
      <c r="L9" s="29">
        <v>5</v>
      </c>
      <c r="M9" s="29">
        <v>6</v>
      </c>
      <c r="N9" s="29"/>
      <c r="O9" s="29"/>
      <c r="P9" s="29"/>
      <c r="Q9" s="29"/>
      <c r="R9" s="29"/>
      <c r="S9" s="30"/>
      <c r="T9" s="29"/>
      <c r="U9" s="32"/>
      <c r="V9" s="32"/>
      <c r="W9" s="32"/>
      <c r="X9" s="32"/>
      <c r="Y9" s="32"/>
      <c r="Z9" s="32"/>
      <c r="AA9" s="32"/>
      <c r="AB9" s="31"/>
      <c r="AC9" s="32"/>
      <c r="AD9" s="32"/>
      <c r="AE9" s="31"/>
      <c r="AF9" s="32"/>
      <c r="AG9" s="32"/>
      <c r="AH9" s="32"/>
      <c r="AI9" s="32"/>
      <c r="AJ9" s="6">
        <f>SUM(E9:AI9)</f>
        <v>26</v>
      </c>
      <c r="AK9" s="20"/>
      <c r="AL9" s="6"/>
      <c r="AM9" s="6"/>
      <c r="AN9" s="21"/>
    </row>
    <row r="10" spans="1:40" ht="17" thickBot="1" x14ac:dyDescent="0.25">
      <c r="A10" s="35"/>
      <c r="B10" s="36" t="s">
        <v>5</v>
      </c>
      <c r="C10" s="37"/>
      <c r="D10" s="38"/>
      <c r="E10" s="29"/>
      <c r="F10" s="39"/>
      <c r="G10" s="29">
        <v>4</v>
      </c>
      <c r="H10" s="39"/>
      <c r="I10" s="29"/>
      <c r="J10" s="29"/>
      <c r="K10" s="29"/>
      <c r="L10" s="29"/>
      <c r="M10" s="29"/>
      <c r="N10" s="29"/>
      <c r="O10" s="29"/>
      <c r="P10" s="29"/>
      <c r="Q10" s="29">
        <v>1</v>
      </c>
      <c r="R10" s="29">
        <v>2</v>
      </c>
      <c r="S10" s="30">
        <v>3</v>
      </c>
      <c r="T10" s="31"/>
      <c r="U10" s="31"/>
      <c r="V10" s="31"/>
      <c r="W10" s="32"/>
      <c r="X10" s="32"/>
      <c r="Y10" s="31"/>
      <c r="Z10" s="31"/>
      <c r="AA10" s="31"/>
      <c r="AB10" s="32"/>
      <c r="AC10" s="32"/>
      <c r="AD10" s="32"/>
      <c r="AE10" s="32"/>
      <c r="AF10" s="31"/>
      <c r="AG10" s="31"/>
      <c r="AH10" s="32"/>
      <c r="AI10" s="31"/>
      <c r="AJ10" s="6">
        <f>SUM(E10:AI10)</f>
        <v>10</v>
      </c>
      <c r="AK10" s="20">
        <f>SUM(AJ8:AJ10)</f>
        <v>47</v>
      </c>
      <c r="AL10" s="6"/>
      <c r="AM10" s="6"/>
      <c r="AN10" s="21"/>
    </row>
    <row r="11" spans="1:40" x14ac:dyDescent="0.2">
      <c r="A11" s="40"/>
      <c r="B11" s="21">
        <f>SUM(D8:D10)</f>
        <v>19.53</v>
      </c>
      <c r="C11" s="10"/>
      <c r="D11" s="21" t="s">
        <v>6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f>SUM(E11:AI11)</f>
        <v>0</v>
      </c>
      <c r="AK11" s="42">
        <f>SUM(AJ8:AJ11)</f>
        <v>47</v>
      </c>
      <c r="AL11" s="6"/>
      <c r="AM11" s="6"/>
      <c r="AN11" s="21"/>
    </row>
    <row r="12" spans="1:40" x14ac:dyDescent="0.2">
      <c r="A12" s="22"/>
      <c r="B12" s="6" t="s">
        <v>7</v>
      </c>
      <c r="C12" s="43"/>
      <c r="D12" s="43" t="s">
        <v>8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20"/>
      <c r="AL12" s="6"/>
      <c r="AM12" s="6"/>
      <c r="AN12" s="21"/>
    </row>
    <row r="13" spans="1:40" x14ac:dyDescent="0.2">
      <c r="A13" s="44"/>
      <c r="B13" s="45"/>
      <c r="C13" s="46"/>
      <c r="D13" s="46" t="s">
        <v>9</v>
      </c>
      <c r="E13" s="47">
        <f t="shared" ref="E13:AI13" si="2">SUM(E8:E11)</f>
        <v>4</v>
      </c>
      <c r="F13" s="47">
        <f t="shared" si="2"/>
        <v>3</v>
      </c>
      <c r="G13" s="47">
        <f t="shared" si="2"/>
        <v>4</v>
      </c>
      <c r="H13" s="47">
        <f t="shared" si="2"/>
        <v>3.5</v>
      </c>
      <c r="I13" s="47">
        <f t="shared" si="2"/>
        <v>2</v>
      </c>
      <c r="J13" s="47">
        <f t="shared" si="2"/>
        <v>3.5</v>
      </c>
      <c r="K13" s="47">
        <f t="shared" si="2"/>
        <v>4</v>
      </c>
      <c r="L13" s="47">
        <f t="shared" si="2"/>
        <v>5</v>
      </c>
      <c r="M13" s="47">
        <f t="shared" si="2"/>
        <v>6</v>
      </c>
      <c r="N13" s="47">
        <f t="shared" si="2"/>
        <v>1</v>
      </c>
      <c r="O13" s="47">
        <f t="shared" si="2"/>
        <v>2</v>
      </c>
      <c r="P13" s="47">
        <f t="shared" si="2"/>
        <v>3</v>
      </c>
      <c r="Q13" s="47">
        <f t="shared" si="2"/>
        <v>1</v>
      </c>
      <c r="R13" s="47">
        <f t="shared" si="2"/>
        <v>2</v>
      </c>
      <c r="S13" s="47">
        <f t="shared" si="2"/>
        <v>3</v>
      </c>
      <c r="T13" s="47">
        <f t="shared" si="2"/>
        <v>0</v>
      </c>
      <c r="U13" s="48">
        <f t="shared" si="2"/>
        <v>0</v>
      </c>
      <c r="V13" s="48">
        <f t="shared" si="2"/>
        <v>0</v>
      </c>
      <c r="W13" s="48">
        <f t="shared" si="2"/>
        <v>0</v>
      </c>
      <c r="X13" s="48">
        <f t="shared" si="2"/>
        <v>0</v>
      </c>
      <c r="Y13" s="48">
        <f t="shared" si="2"/>
        <v>0</v>
      </c>
      <c r="Z13" s="48">
        <f t="shared" si="2"/>
        <v>0</v>
      </c>
      <c r="AA13" s="48">
        <f t="shared" si="2"/>
        <v>0</v>
      </c>
      <c r="AB13" s="48">
        <f t="shared" si="2"/>
        <v>0</v>
      </c>
      <c r="AC13" s="48">
        <f t="shared" si="2"/>
        <v>0</v>
      </c>
      <c r="AD13" s="48">
        <f t="shared" si="2"/>
        <v>0</v>
      </c>
      <c r="AE13" s="48">
        <f t="shared" si="2"/>
        <v>0</v>
      </c>
      <c r="AF13" s="48">
        <f t="shared" si="2"/>
        <v>0</v>
      </c>
      <c r="AG13" s="48">
        <f t="shared" si="2"/>
        <v>0</v>
      </c>
      <c r="AH13" s="48">
        <f t="shared" si="2"/>
        <v>0</v>
      </c>
      <c r="AI13" s="48">
        <f t="shared" si="2"/>
        <v>0</v>
      </c>
      <c r="AJ13" s="49">
        <f>SUM(E13:AI13)</f>
        <v>47</v>
      </c>
      <c r="AK13" s="50"/>
      <c r="AL13" s="45"/>
      <c r="AM13" s="45"/>
      <c r="AN13" s="45"/>
    </row>
    <row r="14" spans="1:40" x14ac:dyDescent="0.2">
      <c r="A14" s="22"/>
      <c r="B14" s="6"/>
      <c r="C14" s="43"/>
      <c r="D14" s="43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6"/>
      <c r="U14" s="6"/>
      <c r="V14" s="6"/>
      <c r="W14" s="6"/>
      <c r="X14" s="6"/>
      <c r="Y14" s="20"/>
      <c r="Z14" s="22"/>
      <c r="AA14" s="6"/>
      <c r="AB14" s="6"/>
      <c r="AC14" s="6"/>
      <c r="AD14" s="6"/>
      <c r="AE14" s="6"/>
      <c r="AF14" s="20"/>
      <c r="AG14" s="6"/>
      <c r="AH14" s="6"/>
      <c r="AJ14" s="6"/>
      <c r="AK14" s="20"/>
      <c r="AL14" s="6"/>
      <c r="AM14" s="6"/>
      <c r="AN14" s="21"/>
    </row>
    <row r="15" spans="1:40" x14ac:dyDescent="0.2">
      <c r="A15" s="22"/>
      <c r="B15" s="6"/>
      <c r="C15" s="43"/>
      <c r="D15" s="52" t="s">
        <v>10</v>
      </c>
      <c r="E15" s="53">
        <f>E13*D7</f>
        <v>136.12</v>
      </c>
      <c r="F15" s="54">
        <f>F13*D7</f>
        <v>102.09</v>
      </c>
      <c r="G15" s="54">
        <f>G13*D7</f>
        <v>136.12</v>
      </c>
      <c r="H15" s="54">
        <f>H13*D7</f>
        <v>119.105</v>
      </c>
      <c r="I15" s="54">
        <f>I13*D7</f>
        <v>68.06</v>
      </c>
      <c r="J15" s="54">
        <f>J13*D7</f>
        <v>119.105</v>
      </c>
      <c r="K15" s="54">
        <f>K13*D7</f>
        <v>136.12</v>
      </c>
      <c r="L15" s="54">
        <f>L13*D7</f>
        <v>170.15</v>
      </c>
      <c r="M15" s="54">
        <f>M13*D7</f>
        <v>204.18</v>
      </c>
      <c r="N15" s="54">
        <f>N13*D7</f>
        <v>34.03</v>
      </c>
      <c r="O15" s="54">
        <f>O13*D7</f>
        <v>68.06</v>
      </c>
      <c r="P15" s="54">
        <f>P13*D7</f>
        <v>102.09</v>
      </c>
      <c r="Q15" s="54">
        <f>Q13*D7</f>
        <v>34.03</v>
      </c>
      <c r="R15" s="54">
        <f>R13*D7</f>
        <v>68.06</v>
      </c>
      <c r="S15" s="54">
        <f>S13*D7</f>
        <v>102.09</v>
      </c>
      <c r="T15" s="55">
        <f>T13*D7</f>
        <v>0</v>
      </c>
      <c r="U15" s="55">
        <f>U13*D7</f>
        <v>0</v>
      </c>
      <c r="V15" s="55">
        <f>V13*D7</f>
        <v>0</v>
      </c>
      <c r="W15" s="55">
        <f>W13*D7</f>
        <v>0</v>
      </c>
      <c r="X15" s="55">
        <f>X13*D7</f>
        <v>0</v>
      </c>
      <c r="Y15" s="55">
        <f>Y13*D7</f>
        <v>0</v>
      </c>
      <c r="Z15" s="55">
        <f>Z13*D7</f>
        <v>0</v>
      </c>
      <c r="AA15" s="55">
        <f>AA13*D7</f>
        <v>0</v>
      </c>
      <c r="AB15" s="55">
        <f>AB13*D7</f>
        <v>0</v>
      </c>
      <c r="AC15" s="55">
        <f>AC13*D7</f>
        <v>0</v>
      </c>
      <c r="AD15" s="55">
        <f>AD13*D7</f>
        <v>0</v>
      </c>
      <c r="AE15" s="55">
        <f>AE13*D7</f>
        <v>0</v>
      </c>
      <c r="AF15" s="56">
        <f>AF13*D7</f>
        <v>0</v>
      </c>
      <c r="AG15" s="56">
        <f>AG13*D7</f>
        <v>0</v>
      </c>
      <c r="AH15" s="56">
        <f>AH13*D7</f>
        <v>0</v>
      </c>
      <c r="AI15" s="56">
        <f>AI13*D7</f>
        <v>0</v>
      </c>
      <c r="AJ15" s="57">
        <f>SUM(E15:AI15)</f>
        <v>1599.4099999999999</v>
      </c>
      <c r="AK15" s="42">
        <f>AJ13*D7</f>
        <v>1599.41</v>
      </c>
      <c r="AL15" s="6"/>
      <c r="AM15" s="6"/>
      <c r="AN15" s="21"/>
    </row>
    <row r="16" spans="1:40" x14ac:dyDescent="0.2">
      <c r="A16" s="22"/>
      <c r="B16" s="6"/>
      <c r="C16" s="43"/>
      <c r="D16" s="4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20"/>
      <c r="S16" s="22"/>
      <c r="T16" s="6"/>
      <c r="U16" s="6"/>
      <c r="V16" s="6"/>
      <c r="W16" s="6"/>
      <c r="X16" s="6"/>
      <c r="Y16" s="20"/>
      <c r="Z16" s="22"/>
      <c r="AA16" s="6"/>
      <c r="AB16" s="6"/>
      <c r="AC16" s="6"/>
      <c r="AD16" s="6"/>
      <c r="AE16" s="6"/>
      <c r="AF16" s="20"/>
      <c r="AG16" s="6"/>
      <c r="AH16" s="6"/>
      <c r="AJ16" s="6"/>
      <c r="AK16" s="20"/>
      <c r="AL16" s="6"/>
      <c r="AM16" s="6"/>
      <c r="AN16" s="21"/>
    </row>
    <row r="17" spans="1:40" x14ac:dyDescent="0.2">
      <c r="A17" s="22"/>
      <c r="B17" s="6"/>
      <c r="C17" s="43"/>
      <c r="D17" s="58" t="s">
        <v>11</v>
      </c>
      <c r="E17" s="6">
        <f>E8*D7</f>
        <v>0</v>
      </c>
      <c r="F17" s="6">
        <f>F8*D7</f>
        <v>102.09</v>
      </c>
      <c r="G17" s="6">
        <f>G8*D7</f>
        <v>0</v>
      </c>
      <c r="H17" s="6">
        <f>H8*D7</f>
        <v>0</v>
      </c>
      <c r="I17" s="6">
        <f>I8*D7</f>
        <v>68.06</v>
      </c>
      <c r="J17" s="6">
        <f>J8*D7</f>
        <v>0</v>
      </c>
      <c r="K17" s="6">
        <f>K8*D7</f>
        <v>0</v>
      </c>
      <c r="L17" s="6">
        <f>L8*D7</f>
        <v>0</v>
      </c>
      <c r="M17" s="6">
        <f>M8*D7</f>
        <v>0</v>
      </c>
      <c r="N17" s="6">
        <f>N8*D7</f>
        <v>34.03</v>
      </c>
      <c r="O17" s="6">
        <f>O8*D7</f>
        <v>68.06</v>
      </c>
      <c r="P17" s="6">
        <f>P8*D7</f>
        <v>102.09</v>
      </c>
      <c r="Q17" s="6">
        <f>Q8*D7</f>
        <v>0</v>
      </c>
      <c r="R17" s="6">
        <f>R8*D7</f>
        <v>0</v>
      </c>
      <c r="S17" s="6">
        <f>S8*D7</f>
        <v>0</v>
      </c>
      <c r="T17" s="6">
        <f>T8*D7</f>
        <v>0</v>
      </c>
      <c r="U17" s="6">
        <f>U8*D7</f>
        <v>0</v>
      </c>
      <c r="V17" s="6">
        <f>V8*D7</f>
        <v>0</v>
      </c>
      <c r="W17" s="6">
        <f>W8*D7</f>
        <v>0</v>
      </c>
      <c r="X17" s="6">
        <f>X8*D7</f>
        <v>0</v>
      </c>
      <c r="Y17" s="6">
        <f>Y8*D7</f>
        <v>0</v>
      </c>
      <c r="Z17" s="6">
        <f>Z8*D7</f>
        <v>0</v>
      </c>
      <c r="AA17" s="6">
        <f>AA8*D7</f>
        <v>0</v>
      </c>
      <c r="AB17" s="6">
        <f>AB8*D7</f>
        <v>0</v>
      </c>
      <c r="AC17" s="6">
        <f>AC8*D7</f>
        <v>0</v>
      </c>
      <c r="AD17" s="6">
        <f>AD8*D7</f>
        <v>0</v>
      </c>
      <c r="AE17" s="6">
        <f>AE8*D7</f>
        <v>0</v>
      </c>
      <c r="AF17" s="6">
        <f>AF8*D7</f>
        <v>0</v>
      </c>
      <c r="AG17" s="6">
        <f>AG8*D7</f>
        <v>0</v>
      </c>
      <c r="AH17" s="6">
        <f>AH8*D7</f>
        <v>0</v>
      </c>
      <c r="AI17" s="6">
        <f>AI8*D7</f>
        <v>0</v>
      </c>
      <c r="AJ17" s="6"/>
      <c r="AK17" s="20"/>
      <c r="AL17" s="6"/>
      <c r="AM17" s="6"/>
      <c r="AN17" s="21"/>
    </row>
    <row r="18" spans="1:40" x14ac:dyDescent="0.2">
      <c r="A18" s="22"/>
      <c r="B18" s="6"/>
      <c r="C18" s="43"/>
      <c r="D18" s="58" t="s">
        <v>12</v>
      </c>
      <c r="E18" s="6">
        <f>E9*D7</f>
        <v>136.12</v>
      </c>
      <c r="F18" s="6">
        <f>F9*D7</f>
        <v>0</v>
      </c>
      <c r="G18" s="6">
        <f>G9*D7</f>
        <v>0</v>
      </c>
      <c r="H18" s="6">
        <f>H9*D7</f>
        <v>119.105</v>
      </c>
      <c r="I18" s="6">
        <f>I9*D7</f>
        <v>0</v>
      </c>
      <c r="J18" s="6">
        <f>J9*D7</f>
        <v>119.105</v>
      </c>
      <c r="K18" s="6">
        <f>K9*D7</f>
        <v>136.12</v>
      </c>
      <c r="L18" s="6">
        <f>L9*D7</f>
        <v>170.15</v>
      </c>
      <c r="M18" s="6">
        <f>M9*D7</f>
        <v>204.18</v>
      </c>
      <c r="N18" s="6">
        <f>N9*D7</f>
        <v>0</v>
      </c>
      <c r="O18" s="6">
        <f>O9*D7</f>
        <v>0</v>
      </c>
      <c r="P18" s="6">
        <f>P9*D7</f>
        <v>0</v>
      </c>
      <c r="Q18" s="6">
        <f>Q9*D7</f>
        <v>0</v>
      </c>
      <c r="R18" s="6">
        <f>R9*D7</f>
        <v>0</v>
      </c>
      <c r="S18" s="6">
        <f>S9*D7</f>
        <v>0</v>
      </c>
      <c r="T18" s="6">
        <f>T9*D7</f>
        <v>0</v>
      </c>
      <c r="U18" s="6">
        <f>U9*D7</f>
        <v>0</v>
      </c>
      <c r="V18" s="6">
        <f>V9*D7</f>
        <v>0</v>
      </c>
      <c r="W18" s="6">
        <f>W9*D7</f>
        <v>0</v>
      </c>
      <c r="X18" s="6">
        <f>X9*D7</f>
        <v>0</v>
      </c>
      <c r="Y18" s="6">
        <f>Y9*D7</f>
        <v>0</v>
      </c>
      <c r="Z18" s="6">
        <f>Z9*D7</f>
        <v>0</v>
      </c>
      <c r="AA18" s="6">
        <f>AA9*D7</f>
        <v>0</v>
      </c>
      <c r="AB18" s="6">
        <f>AB9*D7</f>
        <v>0</v>
      </c>
      <c r="AC18" s="6">
        <f>AC9*D7</f>
        <v>0</v>
      </c>
      <c r="AD18" s="6">
        <f>AD9*D7</f>
        <v>0</v>
      </c>
      <c r="AE18" s="6">
        <f>AE9*D7</f>
        <v>0</v>
      </c>
      <c r="AF18" s="6">
        <f>AF9*D7</f>
        <v>0</v>
      </c>
      <c r="AG18" s="6">
        <f>AG9*D7</f>
        <v>0</v>
      </c>
      <c r="AH18" s="6">
        <f>AH9*D7</f>
        <v>0</v>
      </c>
      <c r="AI18" s="6">
        <f>AI9*D7</f>
        <v>0</v>
      </c>
      <c r="AJ18" s="6"/>
      <c r="AK18" s="20"/>
      <c r="AL18" s="6"/>
      <c r="AM18" s="6"/>
      <c r="AN18" s="21"/>
    </row>
    <row r="19" spans="1:40" x14ac:dyDescent="0.2">
      <c r="A19" s="22"/>
      <c r="B19" s="6"/>
      <c r="C19" s="43"/>
      <c r="D19" s="58" t="s">
        <v>13</v>
      </c>
      <c r="E19" s="6">
        <f>E10*D7</f>
        <v>0</v>
      </c>
      <c r="F19" s="6">
        <f>F10*D7</f>
        <v>0</v>
      </c>
      <c r="G19" s="6">
        <f>G10*D7</f>
        <v>136.12</v>
      </c>
      <c r="H19" s="6">
        <f>H10*D7</f>
        <v>0</v>
      </c>
      <c r="I19" s="6">
        <f>I10*D7</f>
        <v>0</v>
      </c>
      <c r="J19" s="6">
        <f>J10*D7</f>
        <v>0</v>
      </c>
      <c r="K19" s="6">
        <f>K10*D7</f>
        <v>0</v>
      </c>
      <c r="L19" s="6">
        <f>L10*D7</f>
        <v>0</v>
      </c>
      <c r="M19" s="6">
        <f>M10*D7</f>
        <v>0</v>
      </c>
      <c r="N19" s="6">
        <f>N10*D7</f>
        <v>0</v>
      </c>
      <c r="O19" s="6">
        <f>O10*D7</f>
        <v>0</v>
      </c>
      <c r="P19" s="6">
        <f>P10*D7</f>
        <v>0</v>
      </c>
      <c r="Q19" s="6">
        <f>Q10*D7</f>
        <v>34.03</v>
      </c>
      <c r="R19" s="6">
        <f>R10*D7</f>
        <v>68.06</v>
      </c>
      <c r="S19" s="6">
        <f>S10*D7</f>
        <v>102.09</v>
      </c>
      <c r="T19" s="6">
        <f>T10*D7</f>
        <v>0</v>
      </c>
      <c r="U19" s="6">
        <f>U10*D7</f>
        <v>0</v>
      </c>
      <c r="V19" s="6">
        <f>V10*D7</f>
        <v>0</v>
      </c>
      <c r="W19" s="6">
        <f>W10*D7</f>
        <v>0</v>
      </c>
      <c r="X19" s="6">
        <f>X10*D7</f>
        <v>0</v>
      </c>
      <c r="Y19" s="6">
        <f>Y10*D7</f>
        <v>0</v>
      </c>
      <c r="Z19" s="6">
        <f>Z10*D7</f>
        <v>0</v>
      </c>
      <c r="AA19" s="6">
        <f>AA10*D7</f>
        <v>0</v>
      </c>
      <c r="AB19" s="6">
        <f>AB10*D7</f>
        <v>0</v>
      </c>
      <c r="AC19" s="6">
        <f>AC10*D7</f>
        <v>0</v>
      </c>
      <c r="AD19" s="6">
        <f>AD10*D7</f>
        <v>0</v>
      </c>
      <c r="AE19" s="6">
        <f>AE10*D7</f>
        <v>0</v>
      </c>
      <c r="AF19" s="6">
        <f>AF10*D7</f>
        <v>0</v>
      </c>
      <c r="AG19" s="6">
        <f>AG10*D7</f>
        <v>0</v>
      </c>
      <c r="AH19" s="6">
        <f>AH10*D7</f>
        <v>0</v>
      </c>
      <c r="AI19" s="6">
        <f>AI10*D7</f>
        <v>0</v>
      </c>
      <c r="AJ19" s="6"/>
      <c r="AK19" s="20"/>
      <c r="AL19" s="6"/>
      <c r="AM19" s="6"/>
      <c r="AN19" s="21"/>
    </row>
    <row r="20" spans="1:40" x14ac:dyDescent="0.2">
      <c r="A20" s="22"/>
      <c r="B20" s="6"/>
      <c r="C20" s="43"/>
      <c r="D20" s="58" t="s">
        <v>14</v>
      </c>
      <c r="E20" s="6">
        <f>SUM(E17:E19)</f>
        <v>136.12</v>
      </c>
      <c r="F20" s="6">
        <f t="shared" ref="F20:AI20" si="3">SUM(F17:F19)</f>
        <v>102.09</v>
      </c>
      <c r="G20" s="6">
        <f t="shared" si="3"/>
        <v>136.12</v>
      </c>
      <c r="H20" s="6">
        <f t="shared" si="3"/>
        <v>119.105</v>
      </c>
      <c r="I20" s="6">
        <f t="shared" si="3"/>
        <v>68.06</v>
      </c>
      <c r="J20" s="6">
        <f t="shared" si="3"/>
        <v>119.105</v>
      </c>
      <c r="K20" s="6">
        <f t="shared" si="3"/>
        <v>136.12</v>
      </c>
      <c r="L20" s="6">
        <f t="shared" si="3"/>
        <v>170.15</v>
      </c>
      <c r="M20" s="6">
        <f t="shared" si="3"/>
        <v>204.18</v>
      </c>
      <c r="N20" s="6">
        <f t="shared" si="3"/>
        <v>34.03</v>
      </c>
      <c r="O20" s="6">
        <f t="shared" si="3"/>
        <v>68.06</v>
      </c>
      <c r="P20" s="6">
        <f t="shared" si="3"/>
        <v>102.09</v>
      </c>
      <c r="Q20" s="6">
        <f t="shared" si="3"/>
        <v>34.03</v>
      </c>
      <c r="R20" s="6">
        <f t="shared" si="3"/>
        <v>68.06</v>
      </c>
      <c r="S20" s="6">
        <f t="shared" si="3"/>
        <v>102.09</v>
      </c>
      <c r="T20" s="6">
        <f t="shared" si="3"/>
        <v>0</v>
      </c>
      <c r="U20" s="6">
        <f t="shared" si="3"/>
        <v>0</v>
      </c>
      <c r="V20" s="6">
        <f t="shared" si="3"/>
        <v>0</v>
      </c>
      <c r="W20" s="6">
        <f t="shared" si="3"/>
        <v>0</v>
      </c>
      <c r="X20" s="6">
        <f t="shared" si="3"/>
        <v>0</v>
      </c>
      <c r="Y20" s="6">
        <f t="shared" si="3"/>
        <v>0</v>
      </c>
      <c r="Z20" s="6">
        <f t="shared" si="3"/>
        <v>0</v>
      </c>
      <c r="AA20" s="6">
        <f t="shared" si="3"/>
        <v>0</v>
      </c>
      <c r="AB20" s="6">
        <f t="shared" si="3"/>
        <v>0</v>
      </c>
      <c r="AC20" s="6">
        <f t="shared" si="3"/>
        <v>0</v>
      </c>
      <c r="AD20" s="6">
        <f t="shared" si="3"/>
        <v>0</v>
      </c>
      <c r="AE20" s="6">
        <f t="shared" si="3"/>
        <v>0</v>
      </c>
      <c r="AF20" s="6">
        <f t="shared" si="3"/>
        <v>0</v>
      </c>
      <c r="AG20" s="6">
        <f t="shared" si="3"/>
        <v>0</v>
      </c>
      <c r="AH20" s="6">
        <f t="shared" si="3"/>
        <v>0</v>
      </c>
      <c r="AI20" s="6">
        <f t="shared" si="3"/>
        <v>0</v>
      </c>
      <c r="AJ20" s="6"/>
      <c r="AK20" s="20"/>
      <c r="AL20" s="6"/>
      <c r="AM20" s="6"/>
      <c r="AN20" s="21"/>
    </row>
    <row r="21" spans="1:40" ht="17" thickBot="1" x14ac:dyDescent="0.25">
      <c r="A21" s="22"/>
      <c r="B21" s="6"/>
      <c r="C21" s="43"/>
      <c r="D21" s="4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20"/>
      <c r="AL21" s="6"/>
      <c r="AM21" s="6"/>
      <c r="AN21" s="21"/>
    </row>
    <row r="22" spans="1:40" ht="17" thickBot="1" x14ac:dyDescent="0.25">
      <c r="A22" s="59"/>
      <c r="Q22" s="60" t="s">
        <v>15</v>
      </c>
      <c r="R22" s="61">
        <v>374.34</v>
      </c>
      <c r="S22" s="62" t="s">
        <v>16</v>
      </c>
      <c r="T22" s="63">
        <f>SUM(E8:S8)</f>
        <v>11</v>
      </c>
      <c r="U22" s="64">
        <f>T22*$D$16</f>
        <v>0</v>
      </c>
      <c r="V22" s="6"/>
      <c r="W22" s="6"/>
      <c r="X22" s="6"/>
      <c r="Y22" s="20"/>
      <c r="Z22" s="22"/>
      <c r="AA22" s="6"/>
      <c r="AB22" s="6"/>
      <c r="AC22" s="60" t="s">
        <v>15</v>
      </c>
      <c r="AD22" s="61">
        <v>290.29000000000002</v>
      </c>
      <c r="AE22" s="65" t="s">
        <v>16</v>
      </c>
      <c r="AF22" s="66">
        <f>SUM(T8:AI8)</f>
        <v>0</v>
      </c>
      <c r="AG22" s="64">
        <f>AF22*$D$16</f>
        <v>0</v>
      </c>
      <c r="AH22" s="6"/>
      <c r="AI22" s="67">
        <f>SUM(T15:AI15)</f>
        <v>0</v>
      </c>
      <c r="AJ22" s="6"/>
      <c r="AK22" s="20"/>
      <c r="AN22" s="12"/>
    </row>
    <row r="23" spans="1:40" x14ac:dyDescent="0.2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Q23" s="70" t="s">
        <v>15</v>
      </c>
      <c r="R23" s="71"/>
      <c r="S23" s="72" t="s">
        <v>16</v>
      </c>
      <c r="T23" s="73">
        <f>SUM(E9:S9)</f>
        <v>26</v>
      </c>
      <c r="U23" s="74">
        <f>T23*D7</f>
        <v>884.78</v>
      </c>
      <c r="V23" s="6"/>
      <c r="W23" s="6"/>
      <c r="X23" s="6"/>
      <c r="Y23" s="20"/>
      <c r="Z23" s="22"/>
      <c r="AA23" s="6"/>
      <c r="AB23" s="6"/>
      <c r="AC23" s="70" t="s">
        <v>15</v>
      </c>
      <c r="AD23" s="71"/>
      <c r="AE23" s="75" t="s">
        <v>17</v>
      </c>
      <c r="AF23" s="76">
        <f>SUM(T9:AI9)</f>
        <v>0</v>
      </c>
      <c r="AG23" s="74">
        <f>AF23*$D$16</f>
        <v>0</v>
      </c>
      <c r="AH23" s="6"/>
      <c r="AI23" s="77"/>
      <c r="AJ23" s="6"/>
      <c r="AK23" s="20"/>
      <c r="AL23" s="69"/>
      <c r="AM23" s="69"/>
      <c r="AN23" s="12"/>
    </row>
    <row r="24" spans="1:40" x14ac:dyDescent="0.2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Q24" s="78" t="s">
        <v>15</v>
      </c>
      <c r="R24" s="71"/>
      <c r="S24" s="79" t="s">
        <v>16</v>
      </c>
      <c r="T24" s="73">
        <f>SUM(E10:S10)</f>
        <v>10</v>
      </c>
      <c r="U24" s="74">
        <f>T24*D7</f>
        <v>340.3</v>
      </c>
      <c r="V24" s="6"/>
      <c r="W24" s="6"/>
      <c r="X24" s="6"/>
      <c r="Y24" s="20"/>
      <c r="Z24" s="22"/>
      <c r="AA24" s="6"/>
      <c r="AB24" s="6"/>
      <c r="AC24" s="78" t="s">
        <v>15</v>
      </c>
      <c r="AD24" s="71"/>
      <c r="AE24" s="75" t="s">
        <v>16</v>
      </c>
      <c r="AF24" s="76">
        <f>SUM(T10:AI10)</f>
        <v>0</v>
      </c>
      <c r="AG24" s="74">
        <f>AF24*$D$16</f>
        <v>0</v>
      </c>
      <c r="AH24" s="6"/>
      <c r="AI24" s="77"/>
      <c r="AJ24" s="6"/>
      <c r="AK24" s="20"/>
      <c r="AL24" s="69"/>
      <c r="AM24" s="69"/>
      <c r="AN24" s="12"/>
    </row>
    <row r="25" spans="1:40" ht="17" thickBot="1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Q25" s="80" t="s">
        <v>18</v>
      </c>
      <c r="R25" s="81">
        <f>SUM(R22:R24)</f>
        <v>374.34</v>
      </c>
      <c r="S25" s="82" t="s">
        <v>18</v>
      </c>
      <c r="T25" s="83">
        <f>SUM(T22:T24)</f>
        <v>47</v>
      </c>
      <c r="U25" s="84">
        <f>SUM(U22:U24)</f>
        <v>1225.08</v>
      </c>
      <c r="V25" s="85"/>
      <c r="W25" s="85"/>
      <c r="X25" s="85"/>
      <c r="Y25" s="86"/>
      <c r="Z25" s="69"/>
      <c r="AA25" s="87" t="s">
        <v>18</v>
      </c>
      <c r="AB25" s="88">
        <f>SUM(T15:AC15)</f>
        <v>0</v>
      </c>
      <c r="AC25" s="80" t="s">
        <v>18</v>
      </c>
      <c r="AD25" s="81">
        <f>SUM(AD22:AD24)</f>
        <v>290.29000000000002</v>
      </c>
      <c r="AE25" s="80" t="s">
        <v>18</v>
      </c>
      <c r="AF25" s="89">
        <f>SUM(AF22:AF24)</f>
        <v>0</v>
      </c>
      <c r="AG25" s="90">
        <f>SUM(AG22:AG24)</f>
        <v>0</v>
      </c>
      <c r="AH25" s="85"/>
      <c r="AI25" s="77"/>
      <c r="AJ25" s="6">
        <f>U25+AG25</f>
        <v>1225.08</v>
      </c>
      <c r="AK25" s="20"/>
      <c r="AL25" s="69"/>
      <c r="AM25" s="69"/>
      <c r="AN25" s="12"/>
    </row>
    <row r="26" spans="1:40" x14ac:dyDescent="0.2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Q26" s="69"/>
      <c r="R26" s="69"/>
      <c r="T26" t="s">
        <v>19</v>
      </c>
      <c r="U26">
        <f>T25*D7</f>
        <v>1599.41</v>
      </c>
      <c r="Z26" s="6"/>
      <c r="AC26" s="69"/>
      <c r="AD26" s="69"/>
      <c r="AF26" t="s">
        <v>19</v>
      </c>
      <c r="AG26" s="6">
        <f>SUM(T15:AI15)</f>
        <v>0</v>
      </c>
      <c r="AI26" s="77"/>
      <c r="AK26" s="11"/>
      <c r="AL26" s="69"/>
      <c r="AM26" s="69"/>
      <c r="AN26" s="12"/>
    </row>
    <row r="27" spans="1:40" x14ac:dyDescent="0.2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3"/>
      <c r="P27" s="93"/>
      <c r="Q27" s="92"/>
      <c r="R27" s="92"/>
      <c r="S27" s="93"/>
      <c r="T27" s="93"/>
      <c r="U27" s="85">
        <f>SUM(E15:S15)</f>
        <v>1599.4099999999999</v>
      </c>
      <c r="V27" s="93">
        <f>V10*D7</f>
        <v>0</v>
      </c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85"/>
      <c r="AH27" s="85">
        <f>AD25+R25</f>
        <v>664.63</v>
      </c>
      <c r="AI27" s="94">
        <f>SUM(AI25:AI26)</f>
        <v>0</v>
      </c>
      <c r="AJ27" s="85">
        <f>SUM(S27:AI27)</f>
        <v>2264.04</v>
      </c>
      <c r="AK27" s="86">
        <f>AJ15-AJ27</f>
        <v>-664.63000000000011</v>
      </c>
      <c r="AL27" s="69"/>
      <c r="AM27" s="69"/>
      <c r="AN27" s="12"/>
    </row>
    <row r="28" spans="1:40" x14ac:dyDescent="0.2">
      <c r="AN28" s="10"/>
    </row>
    <row r="29" spans="1:40" x14ac:dyDescent="0.2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3"/>
      <c r="P29" s="93"/>
      <c r="Q29" s="92"/>
      <c r="R29" s="92"/>
      <c r="S29" s="93"/>
      <c r="T29" s="93"/>
      <c r="U29" s="85" t="e">
        <f>SUM(#REF!)</f>
        <v>#REF!</v>
      </c>
      <c r="V29" s="93" t="e">
        <f>#REF!*#REF!</f>
        <v>#REF!</v>
      </c>
      <c r="W29" s="93"/>
      <c r="X29" s="95"/>
      <c r="Y29" s="95"/>
      <c r="Z29" s="96"/>
      <c r="AA29" s="93"/>
      <c r="AB29" s="93"/>
      <c r="AC29" s="93"/>
      <c r="AD29" s="93"/>
      <c r="AE29" s="93"/>
      <c r="AF29" s="93"/>
      <c r="AG29" s="85"/>
      <c r="AH29" s="85" t="e">
        <f>#REF!+#REF!</f>
        <v>#REF!</v>
      </c>
      <c r="AI29" s="94" t="e">
        <f>SUM(#REF!)</f>
        <v>#REF!</v>
      </c>
      <c r="AJ29" s="85" t="e">
        <f>SUM(S29:AI29)</f>
        <v>#REF!</v>
      </c>
      <c r="AK29" s="86" t="e">
        <f>#REF!-AJ29</f>
        <v>#REF!</v>
      </c>
      <c r="AL29" s="69"/>
      <c r="AM29" s="69"/>
      <c r="AN29" s="12"/>
    </row>
    <row r="30" spans="1:40" x14ac:dyDescent="0.2">
      <c r="X30" s="95"/>
      <c r="Y30" s="95"/>
      <c r="Z30" s="96"/>
      <c r="AN30" s="97" t="e">
        <f>SUM(#REF!)</f>
        <v>#REF!</v>
      </c>
    </row>
    <row r="31" spans="1:40" ht="17" thickBot="1" x14ac:dyDescent="0.25">
      <c r="X31" s="95"/>
      <c r="Y31" s="95"/>
      <c r="Z31" s="96"/>
      <c r="AN31" s="10"/>
    </row>
    <row r="32" spans="1:40" x14ac:dyDescent="0.2">
      <c r="P32" s="98" t="s">
        <v>20</v>
      </c>
      <c r="Q32" s="99"/>
      <c r="R32" s="99"/>
      <c r="S32" s="100" t="s">
        <v>21</v>
      </c>
      <c r="T32" s="100" t="s">
        <v>22</v>
      </c>
      <c r="X32" s="95"/>
      <c r="Y32" s="95"/>
      <c r="Z32" s="96"/>
      <c r="AB32" s="98" t="s">
        <v>20</v>
      </c>
      <c r="AC32" s="98"/>
      <c r="AD32" s="99"/>
      <c r="AE32" s="99"/>
      <c r="AF32" s="100" t="s">
        <v>21</v>
      </c>
      <c r="AG32" s="100" t="s">
        <v>22</v>
      </c>
      <c r="AN32" s="10"/>
    </row>
    <row r="33" spans="15:40" ht="17" thickBot="1" x14ac:dyDescent="0.25">
      <c r="P33" s="101">
        <f>SUMIFS($R$16:R29,$Q$16:Q29,"total")</f>
        <v>374.34</v>
      </c>
      <c r="Q33" s="102"/>
      <c r="R33" s="102"/>
      <c r="S33" s="90">
        <f>SUMIFS($T$16:T29,$S$16:S29,"total")</f>
        <v>47</v>
      </c>
      <c r="T33" s="90">
        <f>SUMIFS($U$16:U29,$S$16:S29,"total")</f>
        <v>1225.08</v>
      </c>
      <c r="U33" s="6">
        <f>T33-P33</f>
        <v>850.74</v>
      </c>
      <c r="X33" s="95"/>
      <c r="Y33" s="95"/>
      <c r="Z33" s="96"/>
      <c r="AB33">
        <f>SUMIFS($AD$17:AD36,$AC$17:AC36,"total")</f>
        <v>290.29000000000002</v>
      </c>
      <c r="AC33" s="101">
        <f>SUMIFS($AE$16:AE29,$AD$16:AD29,"total")</f>
        <v>0</v>
      </c>
      <c r="AD33" s="102"/>
      <c r="AE33" s="102"/>
      <c r="AF33" s="90">
        <f>SUMIFS($AF$16:AF29,$AE$16:AE29,"total")</f>
        <v>0</v>
      </c>
      <c r="AG33" s="90">
        <f>SUMIFS($AG$16:AG29,$AE$16:AE29,"total")</f>
        <v>0</v>
      </c>
      <c r="AI33" s="6">
        <f>AG33-AB33</f>
        <v>-290.29000000000002</v>
      </c>
      <c r="AN33" s="103"/>
    </row>
    <row r="34" spans="15:40" x14ac:dyDescent="0.2">
      <c r="S34" t="s">
        <v>23</v>
      </c>
      <c r="U34" s="6" t="e">
        <f>#REF!+#REF!</f>
        <v>#REF!</v>
      </c>
      <c r="X34" s="95"/>
      <c r="Y34" s="95"/>
      <c r="Z34" s="96"/>
      <c r="AB34" s="104" t="e">
        <f>#REF!-AB33</f>
        <v>#REF!</v>
      </c>
      <c r="AC34" s="104" t="s">
        <v>24</v>
      </c>
      <c r="AF34" s="6" t="e">
        <f>#REF!</f>
        <v>#REF!</v>
      </c>
      <c r="AN34" s="10"/>
    </row>
    <row r="35" spans="15:40" x14ac:dyDescent="0.2">
      <c r="O35" t="s">
        <v>25</v>
      </c>
      <c r="P35">
        <v>3164.86</v>
      </c>
      <c r="S35" s="6">
        <f>S33-'[1]CT Original 2026 04 15 claim'!$S$2851</f>
        <v>-4105.8999999999996</v>
      </c>
      <c r="U35" s="6" t="e">
        <f>U33-U34</f>
        <v>#REF!</v>
      </c>
      <c r="X35" s="95"/>
      <c r="Y35" s="95"/>
      <c r="Z35" s="96"/>
      <c r="AB35">
        <v>810.61</v>
      </c>
      <c r="AF35" s="6" t="e">
        <f>AF33+AF34</f>
        <v>#REF!</v>
      </c>
      <c r="AG35" t="s">
        <v>26</v>
      </c>
      <c r="AN35" s="10"/>
    </row>
    <row r="36" spans="15:40" x14ac:dyDescent="0.2">
      <c r="O36" t="s">
        <v>27</v>
      </c>
      <c r="X36" s="95"/>
      <c r="Y36" s="95"/>
      <c r="Z36" s="95"/>
      <c r="AB36">
        <f>187.17*2</f>
        <v>374.34</v>
      </c>
      <c r="AF36" s="105"/>
      <c r="AG36" s="6" t="e">
        <f>AF35+AF36</f>
        <v>#REF!</v>
      </c>
      <c r="AN3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Cho</dc:creator>
  <cp:lastModifiedBy>Matthew Cho</cp:lastModifiedBy>
  <dcterms:created xsi:type="dcterms:W3CDTF">2026-09-29T03:35:27Z</dcterms:created>
  <dcterms:modified xsi:type="dcterms:W3CDTF">2026-10-14T22:57:43Z</dcterms:modified>
</cp:coreProperties>
</file>