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ttc/Downloads/kangyang_project_2/prep_invoices/data/"/>
    </mc:Choice>
  </mc:AlternateContent>
  <xr:revisionPtr revIDLastSave="0" documentId="13_ncr:1_{C9677619-3F49-0042-AC40-10321CCD38E8}" xr6:coauthVersionLast="47" xr6:coauthVersionMax="47" xr10:uidLastSave="{00000000-0000-0000-0000-000000000000}"/>
  <bookViews>
    <workbookView xWindow="0" yWindow="600" windowWidth="38400" windowHeight="19200" xr2:uid="{3889CEC7-4770-F34D-88FF-0B03A5AF4CF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" i="1" l="1"/>
  <c r="F2" i="1"/>
  <c r="G2" i="1" s="1"/>
  <c r="AJ8" i="1"/>
  <c r="AK10" i="1" s="1"/>
  <c r="AJ9" i="1"/>
  <c r="AJ10" i="1"/>
  <c r="B11" i="1"/>
  <c r="AJ11" i="1"/>
  <c r="C12" i="1"/>
  <c r="E13" i="1"/>
  <c r="AJ13" i="1" s="1"/>
  <c r="AK15" i="1" s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U15" i="1" s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E15" i="1"/>
  <c r="AJ15" i="1" s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E17" i="1"/>
  <c r="AJ17" i="1" s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AI22" i="1" s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E18" i="1"/>
  <c r="AJ18" i="1" s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AI23" i="1" s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E19" i="1"/>
  <c r="AJ19" i="1" s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AI24" i="1" s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E20" i="1"/>
  <c r="AJ20" i="1" s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R22" i="1"/>
  <c r="R25" i="1" s="1"/>
  <c r="AH22" i="1"/>
  <c r="AH25" i="1" s="1"/>
  <c r="R23" i="1"/>
  <c r="AH23" i="1"/>
  <c r="R24" i="1"/>
  <c r="AH24" i="1"/>
  <c r="AJ34" i="1"/>
  <c r="AK36" i="1" s="1"/>
  <c r="AJ35" i="1"/>
  <c r="AJ36" i="1"/>
  <c r="B37" i="1"/>
  <c r="AJ37" i="1"/>
  <c r="C38" i="1"/>
  <c r="E39" i="1"/>
  <c r="AJ39" i="1" s="1"/>
  <c r="AK41" i="1" s="1"/>
  <c r="F39" i="1"/>
  <c r="F41" i="1" s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E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E43" i="1"/>
  <c r="AJ43" i="1" s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AI48" i="1" s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E44" i="1"/>
  <c r="AJ44" i="1" s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AI49" i="1" s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E45" i="1"/>
  <c r="AJ45" i="1" s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S46" i="1" s="1"/>
  <c r="T45" i="1"/>
  <c r="AI50" i="1" s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E46" i="1"/>
  <c r="AJ46" i="1" s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R48" i="1"/>
  <c r="R51" i="1" s="1"/>
  <c r="AH48" i="1"/>
  <c r="AH51" i="1" s="1"/>
  <c r="R49" i="1"/>
  <c r="AH49" i="1"/>
  <c r="R50" i="1"/>
  <c r="AH50" i="1"/>
  <c r="AJ60" i="1"/>
  <c r="AK62" i="1" s="1"/>
  <c r="AJ61" i="1"/>
  <c r="AJ62" i="1"/>
  <c r="B63" i="1"/>
  <c r="AJ63" i="1"/>
  <c r="C64" i="1"/>
  <c r="E65" i="1"/>
  <c r="AJ65" i="1" s="1"/>
  <c r="AK67" i="1" s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T67" i="1" s="1"/>
  <c r="U65" i="1"/>
  <c r="V65" i="1"/>
  <c r="W65" i="1"/>
  <c r="X65" i="1"/>
  <c r="Y65" i="1"/>
  <c r="Z65" i="1"/>
  <c r="AA65" i="1"/>
  <c r="AB65" i="1"/>
  <c r="AC65" i="1"/>
  <c r="AD65" i="1"/>
  <c r="AE65" i="1"/>
  <c r="AF65" i="1"/>
  <c r="AG65" i="1"/>
  <c r="AH65" i="1"/>
  <c r="AI65" i="1"/>
  <c r="E67" i="1"/>
  <c r="AJ67" i="1" s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E69" i="1"/>
  <c r="AJ69" i="1" s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AI74" i="1" s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E70" i="1"/>
  <c r="S75" i="1" s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S72" i="1" s="1"/>
  <c r="T70" i="1"/>
  <c r="U70" i="1"/>
  <c r="AI75" i="1" s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E71" i="1"/>
  <c r="AJ71" i="1" s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AI76" i="1" s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AI72" i="1" s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R74" i="1"/>
  <c r="R77" i="1" s="1"/>
  <c r="AH74" i="1"/>
  <c r="AH77" i="1" s="1"/>
  <c r="R75" i="1"/>
  <c r="AH75" i="1"/>
  <c r="R76" i="1"/>
  <c r="AH76" i="1"/>
  <c r="AI77" i="1" l="1"/>
  <c r="AI51" i="1"/>
  <c r="H2" i="1"/>
  <c r="G1" i="1"/>
  <c r="AJ41" i="1"/>
  <c r="AI25" i="1"/>
  <c r="AJ72" i="1"/>
  <c r="S76" i="1"/>
  <c r="S74" i="1"/>
  <c r="S50" i="1"/>
  <c r="S48" i="1"/>
  <c r="S24" i="1"/>
  <c r="S22" i="1"/>
  <c r="AJ70" i="1"/>
  <c r="S49" i="1"/>
  <c r="S23" i="1"/>
  <c r="F1" i="1"/>
  <c r="S51" i="1" l="1"/>
  <c r="S25" i="1"/>
  <c r="I2" i="1"/>
  <c r="H1" i="1"/>
  <c r="S77" i="1"/>
  <c r="I1" i="1" l="1"/>
  <c r="J2" i="1"/>
  <c r="J1" i="1" l="1"/>
  <c r="K2" i="1"/>
  <c r="L2" i="1" l="1"/>
  <c r="K1" i="1"/>
  <c r="M2" i="1" l="1"/>
  <c r="L1" i="1"/>
  <c r="M1" i="1" l="1"/>
  <c r="N2" i="1"/>
  <c r="O2" i="1" l="1"/>
  <c r="N1" i="1"/>
  <c r="P2" i="1" l="1"/>
  <c r="O1" i="1"/>
  <c r="P1" i="1" l="1"/>
  <c r="Q2" i="1"/>
  <c r="R2" i="1" l="1"/>
  <c r="Q1" i="1"/>
  <c r="S2" i="1" l="1"/>
  <c r="R1" i="1"/>
  <c r="T2" i="1" l="1"/>
  <c r="S1" i="1"/>
  <c r="U2" i="1" l="1"/>
  <c r="T1" i="1"/>
  <c r="U1" i="1" l="1"/>
  <c r="V2" i="1"/>
  <c r="W2" i="1" l="1"/>
  <c r="V1" i="1"/>
  <c r="X2" i="1" l="1"/>
  <c r="W1" i="1"/>
  <c r="Y2" i="1" l="1"/>
  <c r="X1" i="1"/>
  <c r="Y1" i="1" l="1"/>
  <c r="Z2" i="1"/>
  <c r="AA2" i="1" l="1"/>
  <c r="Z1" i="1"/>
  <c r="AB2" i="1" l="1"/>
  <c r="AA1" i="1"/>
  <c r="AC2" i="1" l="1"/>
  <c r="AB1" i="1"/>
  <c r="AC1" i="1" l="1"/>
  <c r="AD2" i="1"/>
  <c r="AE2" i="1" l="1"/>
  <c r="AD1" i="1"/>
  <c r="AF2" i="1" l="1"/>
  <c r="AE1" i="1"/>
  <c r="AG2" i="1" l="1"/>
  <c r="AF1" i="1"/>
  <c r="AG1" i="1" l="1"/>
  <c r="AH2" i="1"/>
  <c r="AI2" i="1" l="1"/>
  <c r="AI1" i="1" s="1"/>
  <c r="AH1" i="1"/>
</calcChain>
</file>

<file path=xl/sharedStrings.xml><?xml version="1.0" encoding="utf-8"?>
<sst xmlns="http://schemas.openxmlformats.org/spreadsheetml/2006/main" count="94" uniqueCount="32">
  <si>
    <t>Client Name</t>
  </si>
  <si>
    <t>Days in month</t>
  </si>
  <si>
    <t>rate $/hr</t>
  </si>
  <si>
    <t>Homemaking hours</t>
  </si>
  <si>
    <t>Respite hours</t>
  </si>
  <si>
    <t>Adj. hrs</t>
  </si>
  <si>
    <t>AHS#</t>
  </si>
  <si>
    <t>Total</t>
  </si>
  <si>
    <t>Claim/day</t>
  </si>
  <si>
    <t>Homemaking $$</t>
  </si>
  <si>
    <t>Personal Care $$</t>
  </si>
  <si>
    <t>Respite $$</t>
  </si>
  <si>
    <t>Family Number</t>
  </si>
  <si>
    <t>Client Number</t>
  </si>
  <si>
    <t>Subtotal Total</t>
  </si>
  <si>
    <t>Subtotal Respite</t>
  </si>
  <si>
    <t>Subtotal Personal Care</t>
  </si>
  <si>
    <t>Subtotal Homemaking</t>
  </si>
  <si>
    <t>$$</t>
  </si>
  <si>
    <t>Hours</t>
  </si>
  <si>
    <t>Days 16-31</t>
  </si>
  <si>
    <t>Days 1-15</t>
  </si>
  <si>
    <t xml:space="preserve">Total $$ </t>
  </si>
  <si>
    <t>Personal Care hours</t>
  </si>
  <si>
    <t>hours for the whole family are on this client's block</t>
  </si>
  <si>
    <t>Hours counted by shift start date. Generated by excel_converter.py.</t>
  </si>
  <si>
    <t>John Doe</t>
  </si>
  <si>
    <t>Albert Albertson</t>
  </si>
  <si>
    <t>Bob Barker</t>
  </si>
  <si>
    <t>1 John Doe</t>
  </si>
  <si>
    <t>4 Albert Albertson</t>
  </si>
  <si>
    <t>5 Bob Barker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</si>
</sst>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8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name val="Calibri"/>
      <family val="2"/>
    </font>
    <font>
      <b/>
      <sz val="11"/>
      <color rgb="FFC00000"/>
      <name val="Calibri"/>
      <family val="2"/>
    </font>
    <font>
      <i/>
      <sz val="11"/>
      <color rgb="FF666666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DD7EE"/>
      </patternFill>
    </fill>
    <fill>
      <patternFill patternType="solid">
        <fgColor rgb="FFC5E0B4"/>
      </patternFill>
    </fill>
    <fill>
      <patternFill patternType="solid">
        <fgColor rgb="FFDEEBF7"/>
      </patternFill>
    </fill>
    <fill>
      <patternFill patternType="solid">
        <fgColor rgb="FFA9D18E"/>
      </patternFill>
    </fill>
    <fill>
      <patternFill patternType="solid">
        <fgColor rgb="FFFFFF00"/>
      </patternFill>
    </fill>
    <fill>
      <patternFill patternType="solid">
        <fgColor rgb="FFF8CBAD"/>
      </patternFill>
    </fill>
    <fill>
      <patternFill patternType="solid">
        <fgColor rgb="FFFBE5D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7E6E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2" fontId="0" fillId="0" borderId="0" xfId="0" applyNumberFormat="1"/>
    <xf numFmtId="0" fontId="1" fillId="3" borderId="1" xfId="0" applyFont="1" applyFill="1" applyBorder="1"/>
    <xf numFmtId="0" fontId="1" fillId="0" borderId="0" xfId="0" applyFont="1"/>
    <xf numFmtId="0" fontId="1" fillId="0" borderId="1" xfId="0" applyFont="1" applyBorder="1"/>
    <xf numFmtId="2" fontId="1" fillId="0" borderId="0" xfId="0" applyNumberFormat="1" applyFont="1"/>
    <xf numFmtId="2" fontId="2" fillId="0" borderId="0" xfId="0" applyNumberFormat="1" applyFont="1"/>
    <xf numFmtId="0" fontId="4" fillId="0" borderId="0" xfId="0" applyFont="1"/>
    <xf numFmtId="0" fontId="3" fillId="0" borderId="0" xfId="0" applyFont="1"/>
    <xf numFmtId="0" fontId="0" fillId="0" borderId="4" xfId="0" applyBorder="1"/>
    <xf numFmtId="0" fontId="1" fillId="2" borderId="0" xfId="0" applyFont="1" applyFill="1"/>
    <xf numFmtId="0" fontId="0" fillId="0" borderId="9" xfId="0" applyBorder="1"/>
    <xf numFmtId="0" fontId="0" fillId="0" borderId="7" xfId="0" applyBorder="1"/>
    <xf numFmtId="2" fontId="5" fillId="0" borderId="7" xfId="0" applyNumberFormat="1" applyFont="1" applyBorder="1"/>
    <xf numFmtId="0" fontId="0" fillId="4" borderId="7" xfId="0" applyFill="1" applyBorder="1" applyAlignment="1">
      <alignment horizontal="right"/>
    </xf>
    <xf numFmtId="0" fontId="0" fillId="0" borderId="6" xfId="0" applyBorder="1"/>
    <xf numFmtId="0" fontId="0" fillId="0" borderId="8" xfId="0" applyBorder="1"/>
    <xf numFmtId="0" fontId="0" fillId="4" borderId="0" xfId="0" applyFill="1" applyAlignment="1">
      <alignment horizontal="right"/>
    </xf>
    <xf numFmtId="0" fontId="0" fillId="0" borderId="5" xfId="0" applyBorder="1"/>
    <xf numFmtId="0" fontId="5" fillId="0" borderId="0" xfId="0" applyFont="1"/>
    <xf numFmtId="0" fontId="5" fillId="0" borderId="0" xfId="0" applyFont="1" applyAlignment="1">
      <alignment horizontal="right"/>
    </xf>
    <xf numFmtId="0" fontId="0" fillId="4" borderId="0" xfId="0" applyFill="1"/>
    <xf numFmtId="2" fontId="0" fillId="5" borderId="8" xfId="0" applyNumberFormat="1" applyFill="1" applyBorder="1"/>
    <xf numFmtId="2" fontId="0" fillId="5" borderId="0" xfId="0" applyNumberFormat="1" applyFill="1"/>
    <xf numFmtId="2" fontId="0" fillId="6" borderId="0" xfId="0" applyNumberFormat="1" applyFill="1"/>
    <xf numFmtId="0" fontId="0" fillId="7" borderId="0" xfId="0" applyFill="1"/>
    <xf numFmtId="2" fontId="0" fillId="8" borderId="0" xfId="0" applyNumberFormat="1" applyFill="1"/>
    <xf numFmtId="0" fontId="0" fillId="8" borderId="8" xfId="0" applyFill="1" applyBorder="1"/>
    <xf numFmtId="0" fontId="0" fillId="6" borderId="0" xfId="0" applyFill="1"/>
    <xf numFmtId="0" fontId="0" fillId="9" borderId="0" xfId="0" applyFill="1"/>
    <xf numFmtId="0" fontId="0" fillId="9" borderId="5" xfId="0" applyFill="1" applyBorder="1"/>
    <xf numFmtId="0" fontId="0" fillId="10" borderId="0" xfId="0" applyFill="1"/>
    <xf numFmtId="0" fontId="0" fillId="10" borderId="5" xfId="0" applyFill="1" applyBorder="1"/>
    <xf numFmtId="0" fontId="0" fillId="11" borderId="0" xfId="0" applyFill="1"/>
    <xf numFmtId="0" fontId="0" fillId="11" borderId="5" xfId="0" applyFill="1" applyBorder="1"/>
    <xf numFmtId="0" fontId="0" fillId="0" borderId="3" xfId="0" applyBorder="1"/>
    <xf numFmtId="0" fontId="6" fillId="0" borderId="4" xfId="0" applyFont="1" applyBorder="1"/>
    <xf numFmtId="0" fontId="0" fillId="12" borderId="4" xfId="0" applyFill="1" applyBorder="1"/>
    <xf numFmtId="0" fontId="5" fillId="12" borderId="4" xfId="0" applyFont="1" applyFill="1" applyBorder="1"/>
    <xf numFmtId="0" fontId="5" fillId="12" borderId="2" xfId="0" applyFont="1" applyFill="1" applyBorder="1"/>
    <xf numFmtId="0" fontId="5" fillId="8" borderId="4" xfId="0" applyFont="1" applyFill="1" applyBorder="1"/>
    <xf numFmtId="0" fontId="5" fillId="8" borderId="2" xfId="0" applyFont="1" applyFill="1" applyBorder="1"/>
    <xf numFmtId="164" fontId="0" fillId="11" borderId="0" xfId="0" applyNumberFormat="1" applyFill="1"/>
    <xf numFmtId="164" fontId="0" fillId="8" borderId="0" xfId="0" applyNumberFormat="1" applyFill="1"/>
    <xf numFmtId="0" fontId="5" fillId="11" borderId="0" xfId="0" applyFont="1" applyFill="1"/>
    <xf numFmtId="0" fontId="0" fillId="13" borderId="0" xfId="0" applyFill="1" applyAlignment="1">
      <alignment horizontal="center"/>
    </xf>
    <xf numFmtId="0" fontId="7" fillId="0" borderId="0" xfId="0" applyFont="1"/>
    <xf numFmtId="0" fontId="0" fillId="2" borderId="0" xfId="0" applyFill="1"/>
    <xf numFmtId="0" fontId="5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20CEA-16F5-4D48-AD69-A4F10C6AC957}">
  <dimension ref="A1:AN77"/>
  <sheetViews>
    <sheetView tabSelected="1" topLeftCell="A15" workbookViewId="0">
      <selection activeCell="I47" sqref="I47"/>
    </sheetView>
  </sheetViews>
  <sheetFormatPr baseColWidth="10" defaultRowHeight="16" x14ac:dyDescent="0.2"/>
  <sheetData>
    <row r="1" spans="1:40" x14ac:dyDescent="0.2">
      <c r="A1" s="46" t="s">
        <v>25</v>
      </c>
      <c r="E1" s="45" t="str">
        <f t="shared" ref="E1:AI1" si="0">TEXT(E2,"ddd")</f>
        <v>Thu</v>
      </c>
      <c r="F1" s="45" t="str">
        <f t="shared" si="0"/>
        <v>Fri</v>
      </c>
      <c r="G1" s="45" t="str">
        <f t="shared" si="0"/>
        <v>Sat</v>
      </c>
      <c r="H1" s="45" t="str">
        <f t="shared" si="0"/>
        <v>Sun</v>
      </c>
      <c r="I1" s="45" t="str">
        <f t="shared" si="0"/>
        <v>Mon</v>
      </c>
      <c r="J1" s="45" t="str">
        <f t="shared" si="0"/>
        <v>Tue</v>
      </c>
      <c r="K1" s="45" t="str">
        <f t="shared" si="0"/>
        <v>Wed</v>
      </c>
      <c r="L1" s="45" t="str">
        <f t="shared" si="0"/>
        <v>Thu</v>
      </c>
      <c r="M1" s="45" t="str">
        <f t="shared" si="0"/>
        <v>Fri</v>
      </c>
      <c r="N1" s="45" t="str">
        <f t="shared" si="0"/>
        <v>Sat</v>
      </c>
      <c r="O1" s="45" t="str">
        <f t="shared" si="0"/>
        <v>Sun</v>
      </c>
      <c r="P1" s="45" t="str">
        <f t="shared" si="0"/>
        <v>Mon</v>
      </c>
      <c r="Q1" s="45" t="str">
        <f t="shared" si="0"/>
        <v>Tue</v>
      </c>
      <c r="R1" s="45" t="str">
        <f t="shared" si="0"/>
        <v>Wed</v>
      </c>
      <c r="S1" s="45" t="str">
        <f t="shared" si="0"/>
        <v>Thu</v>
      </c>
      <c r="T1" s="45" t="str">
        <f t="shared" si="0"/>
        <v>Fri</v>
      </c>
      <c r="U1" s="45" t="str">
        <f t="shared" si="0"/>
        <v>Sat</v>
      </c>
      <c r="V1" s="45" t="str">
        <f t="shared" si="0"/>
        <v>Sun</v>
      </c>
      <c r="W1" s="45" t="str">
        <f t="shared" si="0"/>
        <v>Mon</v>
      </c>
      <c r="X1" s="45" t="str">
        <f t="shared" si="0"/>
        <v>Tue</v>
      </c>
      <c r="Y1" s="45" t="str">
        <f t="shared" si="0"/>
        <v>Wed</v>
      </c>
      <c r="Z1" s="45" t="str">
        <f t="shared" si="0"/>
        <v>Thu</v>
      </c>
      <c r="AA1" s="45" t="str">
        <f t="shared" si="0"/>
        <v>Fri</v>
      </c>
      <c r="AB1" s="45" t="str">
        <f t="shared" si="0"/>
        <v>Sat</v>
      </c>
      <c r="AC1" s="45" t="str">
        <f t="shared" si="0"/>
        <v>Sun</v>
      </c>
      <c r="AD1" s="45" t="str">
        <f t="shared" si="0"/>
        <v>Mon</v>
      </c>
      <c r="AE1" s="45" t="str">
        <f t="shared" si="0"/>
        <v>Tue</v>
      </c>
      <c r="AF1" s="45" t="str">
        <f t="shared" si="0"/>
        <v>Wed</v>
      </c>
      <c r="AG1" s="45" t="str">
        <f t="shared" si="0"/>
        <v>Thu</v>
      </c>
      <c r="AH1" s="45" t="str">
        <f t="shared" si="0"/>
        <v>Fri</v>
      </c>
      <c r="AI1" s="45" t="str">
        <f t="shared" si="0"/>
        <v>Sat</v>
      </c>
    </row>
    <row r="2" spans="1:40" ht="17" thickBot="1" x14ac:dyDescent="0.25">
      <c r="A2" s="19" t="s">
        <v>12</v>
      </c>
      <c r="B2" s="19" t="s">
        <v>13</v>
      </c>
      <c r="D2" s="44">
        <v>35.03</v>
      </c>
      <c r="E2" s="43">
        <v>46296</v>
      </c>
      <c r="F2" s="42">
        <f t="shared" ref="F2:AI2" si="1">IFERROR(IF(E2=EOMONTH(E2,0),"",E2+1),"")</f>
        <v>46297</v>
      </c>
      <c r="G2" s="42">
        <f t="shared" si="1"/>
        <v>46298</v>
      </c>
      <c r="H2" s="42">
        <f t="shared" si="1"/>
        <v>46299</v>
      </c>
      <c r="I2" s="42">
        <f t="shared" si="1"/>
        <v>46300</v>
      </c>
      <c r="J2" s="42">
        <f t="shared" si="1"/>
        <v>46301</v>
      </c>
      <c r="K2" s="42">
        <f t="shared" si="1"/>
        <v>46302</v>
      </c>
      <c r="L2" s="42">
        <f t="shared" si="1"/>
        <v>46303</v>
      </c>
      <c r="M2" s="42">
        <f t="shared" si="1"/>
        <v>46304</v>
      </c>
      <c r="N2" s="42">
        <f t="shared" si="1"/>
        <v>46305</v>
      </c>
      <c r="O2" s="42">
        <f t="shared" si="1"/>
        <v>46306</v>
      </c>
      <c r="P2" s="42">
        <f t="shared" si="1"/>
        <v>46307</v>
      </c>
      <c r="Q2" s="42">
        <f t="shared" si="1"/>
        <v>46308</v>
      </c>
      <c r="R2" s="42">
        <f t="shared" si="1"/>
        <v>46309</v>
      </c>
      <c r="S2" s="42">
        <f t="shared" si="1"/>
        <v>46310</v>
      </c>
      <c r="T2" s="42">
        <f t="shared" si="1"/>
        <v>46311</v>
      </c>
      <c r="U2" s="42">
        <f t="shared" si="1"/>
        <v>46312</v>
      </c>
      <c r="V2" s="42">
        <f t="shared" si="1"/>
        <v>46313</v>
      </c>
      <c r="W2" s="42">
        <f t="shared" si="1"/>
        <v>46314</v>
      </c>
      <c r="X2" s="42">
        <f t="shared" si="1"/>
        <v>46315</v>
      </c>
      <c r="Y2" s="42">
        <f t="shared" si="1"/>
        <v>46316</v>
      </c>
      <c r="Z2" s="42">
        <f t="shared" si="1"/>
        <v>46317</v>
      </c>
      <c r="AA2" s="42">
        <f t="shared" si="1"/>
        <v>46318</v>
      </c>
      <c r="AB2" s="42">
        <f t="shared" si="1"/>
        <v>46319</v>
      </c>
      <c r="AC2" s="42">
        <f t="shared" si="1"/>
        <v>46320</v>
      </c>
      <c r="AD2" s="42">
        <f t="shared" si="1"/>
        <v>46321</v>
      </c>
      <c r="AE2" s="42">
        <f t="shared" si="1"/>
        <v>46322</v>
      </c>
      <c r="AF2" s="42">
        <f t="shared" si="1"/>
        <v>46323</v>
      </c>
      <c r="AG2" s="42">
        <f t="shared" si="1"/>
        <v>46324</v>
      </c>
      <c r="AH2" s="42">
        <f t="shared" si="1"/>
        <v>46325</v>
      </c>
      <c r="AI2" s="42">
        <f t="shared" si="1"/>
        <v>46326</v>
      </c>
    </row>
    <row r="3" spans="1:40" x14ac:dyDescent="0.2">
      <c r="A3" s="41">
        <v>1</v>
      </c>
      <c r="B3" s="40">
        <v>1</v>
      </c>
      <c r="C3" s="9">
        <v>123123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35"/>
      <c r="AL3" s="1"/>
      <c r="AM3" s="2"/>
      <c r="AN3" s="2"/>
    </row>
    <row r="4" spans="1:40" x14ac:dyDescent="0.2">
      <c r="A4" s="34"/>
      <c r="B4" s="33"/>
      <c r="C4" s="48" t="s">
        <v>26</v>
      </c>
      <c r="AK4" s="16"/>
      <c r="AN4" s="4"/>
    </row>
    <row r="5" spans="1:40" x14ac:dyDescent="0.2">
      <c r="A5" s="32"/>
      <c r="B5" s="31" t="s">
        <v>0</v>
      </c>
      <c r="C5" s="19" t="s">
        <v>29</v>
      </c>
      <c r="D5" s="28" t="s">
        <v>1</v>
      </c>
      <c r="AK5" s="16"/>
      <c r="AN5" s="4"/>
    </row>
    <row r="6" spans="1:40" x14ac:dyDescent="0.2">
      <c r="A6" s="30"/>
      <c r="B6" s="29"/>
      <c r="C6" s="28"/>
      <c r="D6" s="28">
        <v>31</v>
      </c>
      <c r="AK6" s="16"/>
      <c r="AL6" s="1"/>
      <c r="AM6" s="1"/>
      <c r="AN6" s="5"/>
    </row>
    <row r="7" spans="1:40" x14ac:dyDescent="0.2">
      <c r="A7" s="18"/>
      <c r="C7" s="28" t="s">
        <v>2</v>
      </c>
      <c r="D7" s="28">
        <v>35.03</v>
      </c>
      <c r="AK7" s="16"/>
      <c r="AL7" s="1"/>
      <c r="AM7" s="1"/>
      <c r="AN7" s="5"/>
    </row>
    <row r="8" spans="1:40" x14ac:dyDescent="0.2">
      <c r="A8" s="18"/>
      <c r="B8" t="s">
        <v>3</v>
      </c>
      <c r="D8">
        <v>5.81</v>
      </c>
      <c r="AJ8" s="1">
        <f>SUM(E8:AI8)</f>
        <v>0</v>
      </c>
      <c r="AK8" s="16"/>
      <c r="AL8" s="1"/>
      <c r="AM8" s="1"/>
      <c r="AN8" s="5"/>
    </row>
    <row r="9" spans="1:40" x14ac:dyDescent="0.2">
      <c r="A9" s="18"/>
      <c r="B9" t="s">
        <v>23</v>
      </c>
      <c r="D9">
        <v>121.24</v>
      </c>
      <c r="E9" s="1">
        <v>6</v>
      </c>
      <c r="F9" s="1">
        <v>6</v>
      </c>
      <c r="G9" s="1">
        <v>6</v>
      </c>
      <c r="H9" s="1">
        <v>6</v>
      </c>
      <c r="I9" s="1">
        <v>6</v>
      </c>
      <c r="J9" s="1">
        <v>6</v>
      </c>
      <c r="K9" s="1">
        <v>6</v>
      </c>
      <c r="L9" s="1">
        <v>6</v>
      </c>
      <c r="M9" s="1">
        <v>6</v>
      </c>
      <c r="N9" s="1">
        <v>6</v>
      </c>
      <c r="O9" s="1">
        <v>6</v>
      </c>
      <c r="P9" s="1">
        <v>6</v>
      </c>
      <c r="Q9" s="1">
        <v>6</v>
      </c>
      <c r="R9" s="1">
        <v>6</v>
      </c>
      <c r="S9" s="1">
        <v>6</v>
      </c>
      <c r="AJ9" s="1">
        <f>SUM(E9:AI9)</f>
        <v>90</v>
      </c>
      <c r="AK9" s="16"/>
      <c r="AL9" s="1"/>
      <c r="AM9" s="1"/>
      <c r="AN9" s="5"/>
    </row>
    <row r="10" spans="1:40" x14ac:dyDescent="0.2">
      <c r="A10" s="18"/>
      <c r="B10" t="s">
        <v>4</v>
      </c>
      <c r="D10">
        <v>47.63</v>
      </c>
      <c r="AJ10" s="1">
        <f>SUM(E10:AI10)</f>
        <v>0</v>
      </c>
      <c r="AK10" s="27">
        <f>SUM(AJ8:AJ10)</f>
        <v>90</v>
      </c>
      <c r="AL10" s="1"/>
      <c r="AM10" s="1"/>
      <c r="AN10" s="5"/>
    </row>
    <row r="11" spans="1:40" x14ac:dyDescent="0.2">
      <c r="A11" s="18"/>
      <c r="B11">
        <f>SUM(D8:D10)</f>
        <v>174.68</v>
      </c>
      <c r="D11" t="s">
        <v>5</v>
      </c>
      <c r="AJ11" s="1">
        <f>SUM(E11:AI11)</f>
        <v>0</v>
      </c>
      <c r="AK11" s="16"/>
      <c r="AL11" s="1"/>
      <c r="AM11" s="1"/>
      <c r="AN11" s="5"/>
    </row>
    <row r="12" spans="1:40" x14ac:dyDescent="0.2">
      <c r="A12" s="18"/>
      <c r="B12" t="s">
        <v>6</v>
      </c>
      <c r="C12" s="21">
        <f>C3</f>
        <v>123123</v>
      </c>
      <c r="D12" s="21"/>
      <c r="AK12" s="16"/>
      <c r="AL12" s="1"/>
      <c r="AM12" s="1"/>
      <c r="AN12" s="5"/>
    </row>
    <row r="13" spans="1:40" x14ac:dyDescent="0.2">
      <c r="A13" s="18"/>
      <c r="C13" s="21"/>
      <c r="D13" s="21" t="s">
        <v>7</v>
      </c>
      <c r="E13" s="24">
        <f t="shared" ref="E13:AI13" si="2">SUM(E8:E11)</f>
        <v>6</v>
      </c>
      <c r="F13" s="24">
        <f t="shared" si="2"/>
        <v>6</v>
      </c>
      <c r="G13" s="24">
        <f t="shared" si="2"/>
        <v>6</v>
      </c>
      <c r="H13" s="24">
        <f t="shared" si="2"/>
        <v>6</v>
      </c>
      <c r="I13" s="24">
        <f t="shared" si="2"/>
        <v>6</v>
      </c>
      <c r="J13" s="24">
        <f t="shared" si="2"/>
        <v>6</v>
      </c>
      <c r="K13" s="24">
        <f t="shared" si="2"/>
        <v>6</v>
      </c>
      <c r="L13" s="24">
        <f t="shared" si="2"/>
        <v>6</v>
      </c>
      <c r="M13" s="24">
        <f t="shared" si="2"/>
        <v>6</v>
      </c>
      <c r="N13" s="24">
        <f t="shared" si="2"/>
        <v>6</v>
      </c>
      <c r="O13" s="24">
        <f t="shared" si="2"/>
        <v>6</v>
      </c>
      <c r="P13" s="24">
        <f t="shared" si="2"/>
        <v>6</v>
      </c>
      <c r="Q13" s="24">
        <f t="shared" si="2"/>
        <v>6</v>
      </c>
      <c r="R13" s="24">
        <f t="shared" si="2"/>
        <v>6</v>
      </c>
      <c r="S13" s="24">
        <f t="shared" si="2"/>
        <v>6</v>
      </c>
      <c r="T13" s="24">
        <f t="shared" si="2"/>
        <v>0</v>
      </c>
      <c r="U13" s="24">
        <f t="shared" si="2"/>
        <v>0</v>
      </c>
      <c r="V13" s="24">
        <f t="shared" si="2"/>
        <v>0</v>
      </c>
      <c r="W13" s="24">
        <f t="shared" si="2"/>
        <v>0</v>
      </c>
      <c r="X13" s="24">
        <f t="shared" si="2"/>
        <v>0</v>
      </c>
      <c r="Y13" s="24">
        <f t="shared" si="2"/>
        <v>0</v>
      </c>
      <c r="Z13" s="24">
        <f t="shared" si="2"/>
        <v>0</v>
      </c>
      <c r="AA13" s="24">
        <f t="shared" si="2"/>
        <v>0</v>
      </c>
      <c r="AB13" s="24">
        <f t="shared" si="2"/>
        <v>0</v>
      </c>
      <c r="AC13" s="24">
        <f t="shared" si="2"/>
        <v>0</v>
      </c>
      <c r="AD13" s="24">
        <f t="shared" si="2"/>
        <v>0</v>
      </c>
      <c r="AE13" s="24">
        <f t="shared" si="2"/>
        <v>0</v>
      </c>
      <c r="AF13" s="24">
        <f t="shared" si="2"/>
        <v>0</v>
      </c>
      <c r="AG13" s="24">
        <f t="shared" si="2"/>
        <v>0</v>
      </c>
      <c r="AH13" s="24">
        <f t="shared" si="2"/>
        <v>0</v>
      </c>
      <c r="AI13" s="24">
        <f t="shared" si="2"/>
        <v>0</v>
      </c>
      <c r="AJ13" s="26">
        <f>SUM(E13:AI13)</f>
        <v>90</v>
      </c>
      <c r="AK13" s="16"/>
      <c r="AL13" s="6"/>
      <c r="AM13" s="6"/>
      <c r="AN13" s="6"/>
    </row>
    <row r="14" spans="1:40" x14ac:dyDescent="0.2">
      <c r="A14" s="18"/>
      <c r="C14" s="21"/>
      <c r="D14" s="21"/>
      <c r="AK14" s="16"/>
      <c r="AL14" s="1"/>
      <c r="AM14" s="1"/>
      <c r="AN14" s="5"/>
    </row>
    <row r="15" spans="1:40" x14ac:dyDescent="0.2">
      <c r="A15" s="18"/>
      <c r="C15" s="21"/>
      <c r="D15" s="25" t="s">
        <v>8</v>
      </c>
      <c r="E15" s="24">
        <f t="shared" ref="E15:AI15" si="3">E13*$D7</f>
        <v>210.18</v>
      </c>
      <c r="F15" s="24">
        <f t="shared" si="3"/>
        <v>210.18</v>
      </c>
      <c r="G15" s="24">
        <f t="shared" si="3"/>
        <v>210.18</v>
      </c>
      <c r="H15" s="24">
        <f t="shared" si="3"/>
        <v>210.18</v>
      </c>
      <c r="I15" s="24">
        <f t="shared" si="3"/>
        <v>210.18</v>
      </c>
      <c r="J15" s="24">
        <f t="shared" si="3"/>
        <v>210.18</v>
      </c>
      <c r="K15" s="24">
        <f t="shared" si="3"/>
        <v>210.18</v>
      </c>
      <c r="L15" s="24">
        <f t="shared" si="3"/>
        <v>210.18</v>
      </c>
      <c r="M15" s="24">
        <f t="shared" si="3"/>
        <v>210.18</v>
      </c>
      <c r="N15" s="24">
        <f t="shared" si="3"/>
        <v>210.18</v>
      </c>
      <c r="O15" s="24">
        <f t="shared" si="3"/>
        <v>210.18</v>
      </c>
      <c r="P15" s="24">
        <f t="shared" si="3"/>
        <v>210.18</v>
      </c>
      <c r="Q15" s="24">
        <f t="shared" si="3"/>
        <v>210.18</v>
      </c>
      <c r="R15" s="24">
        <f t="shared" si="3"/>
        <v>210.18</v>
      </c>
      <c r="S15" s="24">
        <f t="shared" si="3"/>
        <v>210.18</v>
      </c>
      <c r="T15" s="24">
        <f t="shared" si="3"/>
        <v>0</v>
      </c>
      <c r="U15" s="24">
        <f t="shared" si="3"/>
        <v>0</v>
      </c>
      <c r="V15" s="24">
        <f t="shared" si="3"/>
        <v>0</v>
      </c>
      <c r="W15" s="24">
        <f t="shared" si="3"/>
        <v>0</v>
      </c>
      <c r="X15" s="24">
        <f t="shared" si="3"/>
        <v>0</v>
      </c>
      <c r="Y15" s="24">
        <f t="shared" si="3"/>
        <v>0</v>
      </c>
      <c r="Z15" s="24">
        <f t="shared" si="3"/>
        <v>0</v>
      </c>
      <c r="AA15" s="24">
        <f t="shared" si="3"/>
        <v>0</v>
      </c>
      <c r="AB15" s="24">
        <f t="shared" si="3"/>
        <v>0</v>
      </c>
      <c r="AC15" s="24">
        <f t="shared" si="3"/>
        <v>0</v>
      </c>
      <c r="AD15" s="24">
        <f t="shared" si="3"/>
        <v>0</v>
      </c>
      <c r="AE15" s="24">
        <f t="shared" si="3"/>
        <v>0</v>
      </c>
      <c r="AF15" s="24">
        <f t="shared" si="3"/>
        <v>0</v>
      </c>
      <c r="AG15" s="24">
        <f t="shared" si="3"/>
        <v>0</v>
      </c>
      <c r="AH15" s="24">
        <f t="shared" si="3"/>
        <v>0</v>
      </c>
      <c r="AI15" s="24">
        <f t="shared" si="3"/>
        <v>0</v>
      </c>
      <c r="AJ15" s="23">
        <f>SUM(E15:AI15)</f>
        <v>3152.6999999999994</v>
      </c>
      <c r="AK15" s="22">
        <f>AJ13*$D7</f>
        <v>3152.7000000000003</v>
      </c>
      <c r="AL15" s="1"/>
      <c r="AM15" s="1"/>
      <c r="AN15" s="5"/>
    </row>
    <row r="16" spans="1:40" x14ac:dyDescent="0.2">
      <c r="A16" s="18"/>
      <c r="C16" s="21"/>
      <c r="D16" s="21"/>
      <c r="AK16" s="16"/>
      <c r="AL16" s="1"/>
      <c r="AM16" s="1"/>
      <c r="AN16" s="5"/>
    </row>
    <row r="17" spans="1:40" x14ac:dyDescent="0.2">
      <c r="A17" s="18"/>
      <c r="C17" s="21"/>
      <c r="D17" s="21" t="s">
        <v>9</v>
      </c>
      <c r="E17" s="1">
        <f t="shared" ref="E17:AI17" si="4">E8*$D7</f>
        <v>0</v>
      </c>
      <c r="F17" s="1">
        <f t="shared" si="4"/>
        <v>0</v>
      </c>
      <c r="G17" s="1">
        <f t="shared" si="4"/>
        <v>0</v>
      </c>
      <c r="H17" s="1">
        <f t="shared" si="4"/>
        <v>0</v>
      </c>
      <c r="I17" s="1">
        <f t="shared" si="4"/>
        <v>0</v>
      </c>
      <c r="J17" s="1">
        <f t="shared" si="4"/>
        <v>0</v>
      </c>
      <c r="K17" s="1">
        <f t="shared" si="4"/>
        <v>0</v>
      </c>
      <c r="L17" s="1">
        <f t="shared" si="4"/>
        <v>0</v>
      </c>
      <c r="M17" s="1">
        <f t="shared" si="4"/>
        <v>0</v>
      </c>
      <c r="N17" s="1">
        <f t="shared" si="4"/>
        <v>0</v>
      </c>
      <c r="O17" s="1">
        <f t="shared" si="4"/>
        <v>0</v>
      </c>
      <c r="P17" s="1">
        <f t="shared" si="4"/>
        <v>0</v>
      </c>
      <c r="Q17" s="1">
        <f t="shared" si="4"/>
        <v>0</v>
      </c>
      <c r="R17" s="1">
        <f t="shared" si="4"/>
        <v>0</v>
      </c>
      <c r="S17" s="1">
        <f t="shared" si="4"/>
        <v>0</v>
      </c>
      <c r="T17" s="1">
        <f t="shared" si="4"/>
        <v>0</v>
      </c>
      <c r="U17" s="1">
        <f t="shared" si="4"/>
        <v>0</v>
      </c>
      <c r="V17" s="1">
        <f t="shared" si="4"/>
        <v>0</v>
      </c>
      <c r="W17" s="1">
        <f t="shared" si="4"/>
        <v>0</v>
      </c>
      <c r="X17" s="1">
        <f t="shared" si="4"/>
        <v>0</v>
      </c>
      <c r="Y17" s="1">
        <f t="shared" si="4"/>
        <v>0</v>
      </c>
      <c r="Z17" s="1">
        <f t="shared" si="4"/>
        <v>0</v>
      </c>
      <c r="AA17" s="1">
        <f t="shared" si="4"/>
        <v>0</v>
      </c>
      <c r="AB17" s="1">
        <f t="shared" si="4"/>
        <v>0</v>
      </c>
      <c r="AC17" s="1">
        <f t="shared" si="4"/>
        <v>0</v>
      </c>
      <c r="AD17" s="1">
        <f t="shared" si="4"/>
        <v>0</v>
      </c>
      <c r="AE17" s="1">
        <f t="shared" si="4"/>
        <v>0</v>
      </c>
      <c r="AF17" s="1">
        <f t="shared" si="4"/>
        <v>0</v>
      </c>
      <c r="AG17" s="1">
        <f t="shared" si="4"/>
        <v>0</v>
      </c>
      <c r="AH17" s="1">
        <f t="shared" si="4"/>
        <v>0</v>
      </c>
      <c r="AI17" s="1">
        <f t="shared" si="4"/>
        <v>0</v>
      </c>
      <c r="AJ17" s="1">
        <f>SUM(E17:AI17)</f>
        <v>0</v>
      </c>
      <c r="AK17" s="16"/>
      <c r="AL17" s="1"/>
      <c r="AM17" s="1"/>
      <c r="AN17" s="5"/>
    </row>
    <row r="18" spans="1:40" x14ac:dyDescent="0.2">
      <c r="A18" s="18"/>
      <c r="C18" s="21"/>
      <c r="D18" s="21" t="s">
        <v>10</v>
      </c>
      <c r="E18" s="1">
        <f t="shared" ref="E18:AI18" si="5">E9*$D7</f>
        <v>210.18</v>
      </c>
      <c r="F18" s="1">
        <f t="shared" si="5"/>
        <v>210.18</v>
      </c>
      <c r="G18" s="1">
        <f t="shared" si="5"/>
        <v>210.18</v>
      </c>
      <c r="H18" s="1">
        <f t="shared" si="5"/>
        <v>210.18</v>
      </c>
      <c r="I18" s="1">
        <f t="shared" si="5"/>
        <v>210.18</v>
      </c>
      <c r="J18" s="1">
        <f t="shared" si="5"/>
        <v>210.18</v>
      </c>
      <c r="K18" s="1">
        <f t="shared" si="5"/>
        <v>210.18</v>
      </c>
      <c r="L18" s="1">
        <f t="shared" si="5"/>
        <v>210.18</v>
      </c>
      <c r="M18" s="1">
        <f t="shared" si="5"/>
        <v>210.18</v>
      </c>
      <c r="N18" s="1">
        <f t="shared" si="5"/>
        <v>210.18</v>
      </c>
      <c r="O18" s="1">
        <f t="shared" si="5"/>
        <v>210.18</v>
      </c>
      <c r="P18" s="1">
        <f t="shared" si="5"/>
        <v>210.18</v>
      </c>
      <c r="Q18" s="1">
        <f t="shared" si="5"/>
        <v>210.18</v>
      </c>
      <c r="R18" s="1">
        <f t="shared" si="5"/>
        <v>210.18</v>
      </c>
      <c r="S18" s="1">
        <f t="shared" si="5"/>
        <v>210.18</v>
      </c>
      <c r="T18" s="1">
        <f t="shared" si="5"/>
        <v>0</v>
      </c>
      <c r="U18" s="1">
        <f t="shared" si="5"/>
        <v>0</v>
      </c>
      <c r="V18" s="1">
        <f t="shared" si="5"/>
        <v>0</v>
      </c>
      <c r="W18" s="1">
        <f t="shared" si="5"/>
        <v>0</v>
      </c>
      <c r="X18" s="1">
        <f t="shared" si="5"/>
        <v>0</v>
      </c>
      <c r="Y18" s="1">
        <f t="shared" si="5"/>
        <v>0</v>
      </c>
      <c r="Z18" s="1">
        <f t="shared" si="5"/>
        <v>0</v>
      </c>
      <c r="AA18" s="1">
        <f t="shared" si="5"/>
        <v>0</v>
      </c>
      <c r="AB18" s="1">
        <f t="shared" si="5"/>
        <v>0</v>
      </c>
      <c r="AC18" s="1">
        <f t="shared" si="5"/>
        <v>0</v>
      </c>
      <c r="AD18" s="1">
        <f t="shared" si="5"/>
        <v>0</v>
      </c>
      <c r="AE18" s="1">
        <f t="shared" si="5"/>
        <v>0</v>
      </c>
      <c r="AF18" s="1">
        <f t="shared" si="5"/>
        <v>0</v>
      </c>
      <c r="AG18" s="1">
        <f t="shared" si="5"/>
        <v>0</v>
      </c>
      <c r="AH18" s="1">
        <f t="shared" si="5"/>
        <v>0</v>
      </c>
      <c r="AI18" s="1">
        <f t="shared" si="5"/>
        <v>0</v>
      </c>
      <c r="AJ18" s="1">
        <f>SUM(E18:AI18)</f>
        <v>3152.6999999999994</v>
      </c>
      <c r="AK18" s="16"/>
      <c r="AL18" s="1"/>
      <c r="AM18" s="1"/>
      <c r="AN18" s="5"/>
    </row>
    <row r="19" spans="1:40" x14ac:dyDescent="0.2">
      <c r="A19" s="18"/>
      <c r="C19" s="21"/>
      <c r="D19" s="21" t="s">
        <v>11</v>
      </c>
      <c r="E19" s="1">
        <f t="shared" ref="E19:AI19" si="6">E10*$D7</f>
        <v>0</v>
      </c>
      <c r="F19" s="1">
        <f t="shared" si="6"/>
        <v>0</v>
      </c>
      <c r="G19" s="1">
        <f t="shared" si="6"/>
        <v>0</v>
      </c>
      <c r="H19" s="1">
        <f t="shared" si="6"/>
        <v>0</v>
      </c>
      <c r="I19" s="1">
        <f t="shared" si="6"/>
        <v>0</v>
      </c>
      <c r="J19" s="1">
        <f t="shared" si="6"/>
        <v>0</v>
      </c>
      <c r="K19" s="1">
        <f t="shared" si="6"/>
        <v>0</v>
      </c>
      <c r="L19" s="1">
        <f t="shared" si="6"/>
        <v>0</v>
      </c>
      <c r="M19" s="1">
        <f t="shared" si="6"/>
        <v>0</v>
      </c>
      <c r="N19" s="1">
        <f t="shared" si="6"/>
        <v>0</v>
      </c>
      <c r="O19" s="1">
        <f t="shared" si="6"/>
        <v>0</v>
      </c>
      <c r="P19" s="1">
        <f t="shared" si="6"/>
        <v>0</v>
      </c>
      <c r="Q19" s="1">
        <f t="shared" si="6"/>
        <v>0</v>
      </c>
      <c r="R19" s="1">
        <f t="shared" si="6"/>
        <v>0</v>
      </c>
      <c r="S19" s="1">
        <f t="shared" si="6"/>
        <v>0</v>
      </c>
      <c r="T19" s="1">
        <f t="shared" si="6"/>
        <v>0</v>
      </c>
      <c r="U19" s="1">
        <f t="shared" si="6"/>
        <v>0</v>
      </c>
      <c r="V19" s="1">
        <f t="shared" si="6"/>
        <v>0</v>
      </c>
      <c r="W19" s="1">
        <f t="shared" si="6"/>
        <v>0</v>
      </c>
      <c r="X19" s="1">
        <f t="shared" si="6"/>
        <v>0</v>
      </c>
      <c r="Y19" s="1">
        <f t="shared" si="6"/>
        <v>0</v>
      </c>
      <c r="Z19" s="1">
        <f t="shared" si="6"/>
        <v>0</v>
      </c>
      <c r="AA19" s="1">
        <f t="shared" si="6"/>
        <v>0</v>
      </c>
      <c r="AB19" s="1">
        <f t="shared" si="6"/>
        <v>0</v>
      </c>
      <c r="AC19" s="1">
        <f t="shared" si="6"/>
        <v>0</v>
      </c>
      <c r="AD19" s="1">
        <f t="shared" si="6"/>
        <v>0</v>
      </c>
      <c r="AE19" s="1">
        <f t="shared" si="6"/>
        <v>0</v>
      </c>
      <c r="AF19" s="1">
        <f t="shared" si="6"/>
        <v>0</v>
      </c>
      <c r="AG19" s="1">
        <f t="shared" si="6"/>
        <v>0</v>
      </c>
      <c r="AH19" s="1">
        <f t="shared" si="6"/>
        <v>0</v>
      </c>
      <c r="AI19" s="1">
        <f t="shared" si="6"/>
        <v>0</v>
      </c>
      <c r="AJ19" s="1">
        <f>SUM(E19:AI19)</f>
        <v>0</v>
      </c>
      <c r="AK19" s="16"/>
      <c r="AL19" s="1"/>
      <c r="AM19" s="1"/>
      <c r="AN19" s="5"/>
    </row>
    <row r="20" spans="1:40" x14ac:dyDescent="0.2">
      <c r="A20" s="18"/>
      <c r="C20" s="21"/>
      <c r="D20" s="21" t="s">
        <v>22</v>
      </c>
      <c r="E20" s="1">
        <f t="shared" ref="E20:AI20" si="7">SUM(E17:E19)</f>
        <v>210.18</v>
      </c>
      <c r="F20" s="1">
        <f t="shared" si="7"/>
        <v>210.18</v>
      </c>
      <c r="G20" s="1">
        <f t="shared" si="7"/>
        <v>210.18</v>
      </c>
      <c r="H20" s="1">
        <f t="shared" si="7"/>
        <v>210.18</v>
      </c>
      <c r="I20" s="1">
        <f t="shared" si="7"/>
        <v>210.18</v>
      </c>
      <c r="J20" s="1">
        <f t="shared" si="7"/>
        <v>210.18</v>
      </c>
      <c r="K20" s="1">
        <f t="shared" si="7"/>
        <v>210.18</v>
      </c>
      <c r="L20" s="1">
        <f t="shared" si="7"/>
        <v>210.18</v>
      </c>
      <c r="M20" s="1">
        <f t="shared" si="7"/>
        <v>210.18</v>
      </c>
      <c r="N20" s="1">
        <f t="shared" si="7"/>
        <v>210.18</v>
      </c>
      <c r="O20" s="1">
        <f t="shared" si="7"/>
        <v>210.18</v>
      </c>
      <c r="P20" s="1">
        <f t="shared" si="7"/>
        <v>210.18</v>
      </c>
      <c r="Q20" s="1">
        <f t="shared" si="7"/>
        <v>210.18</v>
      </c>
      <c r="R20" s="1">
        <f t="shared" si="7"/>
        <v>210.18</v>
      </c>
      <c r="S20" s="1">
        <f t="shared" si="7"/>
        <v>210.18</v>
      </c>
      <c r="T20" s="1">
        <f t="shared" si="7"/>
        <v>0</v>
      </c>
      <c r="U20" s="1">
        <f t="shared" si="7"/>
        <v>0</v>
      </c>
      <c r="V20" s="1">
        <f t="shared" si="7"/>
        <v>0</v>
      </c>
      <c r="W20" s="1">
        <f t="shared" si="7"/>
        <v>0</v>
      </c>
      <c r="X20" s="1">
        <f t="shared" si="7"/>
        <v>0</v>
      </c>
      <c r="Y20" s="1">
        <f t="shared" si="7"/>
        <v>0</v>
      </c>
      <c r="Z20" s="1">
        <f t="shared" si="7"/>
        <v>0</v>
      </c>
      <c r="AA20" s="1">
        <f t="shared" si="7"/>
        <v>0</v>
      </c>
      <c r="AB20" s="1">
        <f t="shared" si="7"/>
        <v>0</v>
      </c>
      <c r="AC20" s="1">
        <f t="shared" si="7"/>
        <v>0</v>
      </c>
      <c r="AD20" s="1">
        <f t="shared" si="7"/>
        <v>0</v>
      </c>
      <c r="AE20" s="1">
        <f t="shared" si="7"/>
        <v>0</v>
      </c>
      <c r="AF20" s="1">
        <f t="shared" si="7"/>
        <v>0</v>
      </c>
      <c r="AG20" s="1">
        <f t="shared" si="7"/>
        <v>0</v>
      </c>
      <c r="AH20" s="1">
        <f t="shared" si="7"/>
        <v>0</v>
      </c>
      <c r="AI20" s="1">
        <f t="shared" si="7"/>
        <v>0</v>
      </c>
      <c r="AJ20" s="1">
        <f>SUM(E20:AI20)</f>
        <v>3152.6999999999994</v>
      </c>
      <c r="AK20" s="16"/>
      <c r="AL20" s="1"/>
      <c r="AM20" s="1"/>
      <c r="AN20" s="5"/>
    </row>
    <row r="21" spans="1:40" x14ac:dyDescent="0.2">
      <c r="A21" s="18"/>
      <c r="C21" s="21"/>
      <c r="D21" s="21"/>
      <c r="Q21" s="20" t="s">
        <v>21</v>
      </c>
      <c r="R21" s="19" t="s">
        <v>19</v>
      </c>
      <c r="S21" s="19" t="s">
        <v>18</v>
      </c>
      <c r="AG21" s="20" t="s">
        <v>20</v>
      </c>
      <c r="AH21" s="19" t="s">
        <v>19</v>
      </c>
      <c r="AI21" s="19" t="s">
        <v>18</v>
      </c>
      <c r="AK21" s="16"/>
      <c r="AL21" s="1"/>
      <c r="AM21" s="1"/>
      <c r="AN21" s="5"/>
    </row>
    <row r="22" spans="1:40" x14ac:dyDescent="0.2">
      <c r="A22" s="18"/>
      <c r="Q22" s="17" t="s">
        <v>17</v>
      </c>
      <c r="R22" s="1">
        <f>SUM(E8:S8)</f>
        <v>0</v>
      </c>
      <c r="S22" s="1">
        <f>SUM(E17:S17)</f>
        <v>0</v>
      </c>
      <c r="AG22" s="17" t="s">
        <v>17</v>
      </c>
      <c r="AH22" s="1">
        <f>SUM(T8:AI8)</f>
        <v>0</v>
      </c>
      <c r="AI22" s="1">
        <f>SUM(T17:AI17)</f>
        <v>0</v>
      </c>
      <c r="AK22" s="16"/>
      <c r="AN22" s="4"/>
    </row>
    <row r="23" spans="1:40" x14ac:dyDescent="0.2">
      <c r="A23" s="18"/>
      <c r="Q23" s="17" t="s">
        <v>16</v>
      </c>
      <c r="R23" s="1">
        <f>SUM(E9:S9)</f>
        <v>90</v>
      </c>
      <c r="S23" s="1">
        <f>SUM(E18:S18)</f>
        <v>3152.6999999999994</v>
      </c>
      <c r="AG23" s="17" t="s">
        <v>16</v>
      </c>
      <c r="AH23" s="1">
        <f>SUM(T9:AI9)</f>
        <v>0</v>
      </c>
      <c r="AI23" s="1">
        <f>SUM(T18:AI18)</f>
        <v>0</v>
      </c>
      <c r="AK23" s="16"/>
      <c r="AL23" s="7"/>
      <c r="AM23" s="7"/>
      <c r="AN23" s="4"/>
    </row>
    <row r="24" spans="1:40" x14ac:dyDescent="0.2">
      <c r="A24" s="18"/>
      <c r="Q24" s="17" t="s">
        <v>15</v>
      </c>
      <c r="R24" s="1">
        <f>SUM(E10:S10)</f>
        <v>0</v>
      </c>
      <c r="S24" s="1">
        <f>SUM(E19:S19)</f>
        <v>0</v>
      </c>
      <c r="AG24" s="17" t="s">
        <v>15</v>
      </c>
      <c r="AH24" s="1">
        <f>SUM(T10:AI10)</f>
        <v>0</v>
      </c>
      <c r="AI24" s="1">
        <f>SUM(T19:AI19)</f>
        <v>0</v>
      </c>
      <c r="AK24" s="16"/>
      <c r="AL24" s="7"/>
      <c r="AM24" s="7"/>
      <c r="AN24" s="4"/>
    </row>
    <row r="25" spans="1:40" ht="17" thickBot="1" x14ac:dyDescent="0.25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 t="s">
        <v>14</v>
      </c>
      <c r="R25" s="13">
        <f>SUM(R22:R24)</f>
        <v>90</v>
      </c>
      <c r="S25" s="13">
        <f>SUM(S22:S24)</f>
        <v>3152.6999999999994</v>
      </c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4" t="s">
        <v>14</v>
      </c>
      <c r="AH25" s="13">
        <f>SUM(AH22:AH24)</f>
        <v>0</v>
      </c>
      <c r="AI25" s="13">
        <f>SUM(AI22:AI24)</f>
        <v>0</v>
      </c>
      <c r="AJ25" s="12"/>
      <c r="AK25" s="11"/>
      <c r="AL25" s="7"/>
      <c r="AM25" s="7"/>
      <c r="AN25" s="4"/>
    </row>
    <row r="26" spans="1:40" x14ac:dyDescent="0.2">
      <c r="AL26" s="7"/>
      <c r="AM26" s="7"/>
      <c r="AN26" s="4"/>
    </row>
    <row r="27" spans="1:40" x14ac:dyDescent="0.2">
      <c r="AL27" s="7"/>
      <c r="AM27" s="7"/>
      <c r="AN27" s="4"/>
    </row>
    <row r="28" spans="1:40" ht="17" thickBot="1" x14ac:dyDescent="0.25">
      <c r="AN28" s="3"/>
    </row>
    <row r="29" spans="1:40" x14ac:dyDescent="0.2">
      <c r="A29" s="41">
        <v>4</v>
      </c>
      <c r="B29" s="40">
        <v>5</v>
      </c>
      <c r="C29" s="9">
        <v>234234</v>
      </c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35"/>
      <c r="AL29" s="7"/>
      <c r="AM29" s="7"/>
      <c r="AN29" s="4"/>
    </row>
    <row r="30" spans="1:40" x14ac:dyDescent="0.2">
      <c r="A30" s="34"/>
      <c r="B30" s="33"/>
      <c r="C30" s="48" t="s">
        <v>27</v>
      </c>
      <c r="AK30" s="16"/>
      <c r="AN30" s="8"/>
    </row>
    <row r="31" spans="1:40" x14ac:dyDescent="0.2">
      <c r="A31" s="32"/>
      <c r="B31" s="31" t="s">
        <v>0</v>
      </c>
      <c r="C31" s="19" t="s">
        <v>30</v>
      </c>
      <c r="D31" s="28" t="s">
        <v>1</v>
      </c>
      <c r="AK31" s="16"/>
      <c r="AN31" s="3"/>
    </row>
    <row r="32" spans="1:40" x14ac:dyDescent="0.2">
      <c r="A32" s="30"/>
      <c r="B32" s="29"/>
      <c r="C32" s="28"/>
      <c r="D32" s="28">
        <v>31</v>
      </c>
      <c r="AK32" s="16"/>
      <c r="AN32" s="3"/>
    </row>
    <row r="33" spans="1:40" x14ac:dyDescent="0.2">
      <c r="A33" s="18"/>
      <c r="C33" s="28" t="s">
        <v>2</v>
      </c>
      <c r="D33" s="28">
        <v>35.03</v>
      </c>
      <c r="AK33" s="16"/>
      <c r="AN33" s="10"/>
    </row>
    <row r="34" spans="1:40" x14ac:dyDescent="0.2">
      <c r="A34" s="18"/>
      <c r="B34" t="s">
        <v>3</v>
      </c>
      <c r="D34">
        <v>0</v>
      </c>
      <c r="AJ34" s="1">
        <f>SUM(E34:AI34)</f>
        <v>0</v>
      </c>
      <c r="AK34" s="16"/>
      <c r="AN34" s="3"/>
    </row>
    <row r="35" spans="1:40" x14ac:dyDescent="0.2">
      <c r="A35" s="18"/>
      <c r="B35" t="s">
        <v>23</v>
      </c>
      <c r="D35">
        <v>125.57</v>
      </c>
      <c r="E35" s="1">
        <v>6</v>
      </c>
      <c r="F35" s="1">
        <v>6</v>
      </c>
      <c r="G35" s="1">
        <v>6</v>
      </c>
      <c r="H35" s="1">
        <v>6</v>
      </c>
      <c r="I35" s="1">
        <v>8</v>
      </c>
      <c r="J35" s="1">
        <v>6</v>
      </c>
      <c r="K35" s="1">
        <v>6</v>
      </c>
      <c r="L35" s="1">
        <v>6</v>
      </c>
      <c r="M35" s="1">
        <v>6</v>
      </c>
      <c r="N35" s="1">
        <v>6</v>
      </c>
      <c r="O35" s="1">
        <v>6</v>
      </c>
      <c r="P35" s="1">
        <v>8</v>
      </c>
      <c r="Q35" s="1">
        <v>6</v>
      </c>
      <c r="R35" s="1">
        <v>6</v>
      </c>
      <c r="S35" s="1">
        <v>6</v>
      </c>
      <c r="AJ35" s="1">
        <f>SUM(E35:AI35)</f>
        <v>94</v>
      </c>
      <c r="AK35" s="16"/>
      <c r="AN35" s="3"/>
    </row>
    <row r="36" spans="1:40" x14ac:dyDescent="0.2">
      <c r="A36" s="18"/>
      <c r="B36" t="s">
        <v>4</v>
      </c>
      <c r="D36">
        <v>47.63</v>
      </c>
      <c r="AJ36" s="1">
        <f>SUM(E36:AI36)</f>
        <v>0</v>
      </c>
      <c r="AK36" s="27">
        <f>SUM(AJ34:AJ36)</f>
        <v>94</v>
      </c>
      <c r="AN36" s="3"/>
    </row>
    <row r="37" spans="1:40" x14ac:dyDescent="0.2">
      <c r="A37" s="18"/>
      <c r="B37">
        <f>SUM(D34:D36)</f>
        <v>173.2</v>
      </c>
      <c r="D37" t="s">
        <v>5</v>
      </c>
      <c r="AJ37" s="1">
        <f>SUM(E37:AI37)</f>
        <v>0</v>
      </c>
      <c r="AK37" s="16"/>
    </row>
    <row r="38" spans="1:40" x14ac:dyDescent="0.2">
      <c r="A38" s="18"/>
      <c r="B38" t="s">
        <v>6</v>
      </c>
      <c r="C38" s="21">
        <f>C29</f>
        <v>234234</v>
      </c>
      <c r="D38" s="21"/>
      <c r="AK38" s="16"/>
    </row>
    <row r="39" spans="1:40" x14ac:dyDescent="0.2">
      <c r="A39" s="18"/>
      <c r="C39" s="21"/>
      <c r="D39" s="21" t="s">
        <v>7</v>
      </c>
      <c r="E39" s="24">
        <f t="shared" ref="E39:AI39" si="8">SUM(E34:E37)</f>
        <v>6</v>
      </c>
      <c r="F39" s="24">
        <f t="shared" si="8"/>
        <v>6</v>
      </c>
      <c r="G39" s="24">
        <f t="shared" si="8"/>
        <v>6</v>
      </c>
      <c r="H39" s="24">
        <f t="shared" si="8"/>
        <v>6</v>
      </c>
      <c r="I39" s="24">
        <f t="shared" si="8"/>
        <v>8</v>
      </c>
      <c r="J39" s="24">
        <f t="shared" si="8"/>
        <v>6</v>
      </c>
      <c r="K39" s="24">
        <f t="shared" si="8"/>
        <v>6</v>
      </c>
      <c r="L39" s="24">
        <f t="shared" si="8"/>
        <v>6</v>
      </c>
      <c r="M39" s="24">
        <f t="shared" si="8"/>
        <v>6</v>
      </c>
      <c r="N39" s="24">
        <f t="shared" si="8"/>
        <v>6</v>
      </c>
      <c r="O39" s="24">
        <f t="shared" si="8"/>
        <v>6</v>
      </c>
      <c r="P39" s="24">
        <f t="shared" si="8"/>
        <v>8</v>
      </c>
      <c r="Q39" s="24">
        <f t="shared" si="8"/>
        <v>6</v>
      </c>
      <c r="R39" s="24">
        <f t="shared" si="8"/>
        <v>6</v>
      </c>
      <c r="S39" s="24">
        <f t="shared" si="8"/>
        <v>6</v>
      </c>
      <c r="T39" s="24">
        <f t="shared" si="8"/>
        <v>0</v>
      </c>
      <c r="U39" s="24">
        <f t="shared" si="8"/>
        <v>0</v>
      </c>
      <c r="V39" s="24">
        <f t="shared" si="8"/>
        <v>0</v>
      </c>
      <c r="W39" s="24">
        <f t="shared" si="8"/>
        <v>0</v>
      </c>
      <c r="X39" s="24">
        <f t="shared" si="8"/>
        <v>0</v>
      </c>
      <c r="Y39" s="24">
        <f t="shared" si="8"/>
        <v>0</v>
      </c>
      <c r="Z39" s="24">
        <f t="shared" si="8"/>
        <v>0</v>
      </c>
      <c r="AA39" s="24">
        <f t="shared" si="8"/>
        <v>0</v>
      </c>
      <c r="AB39" s="24">
        <f t="shared" si="8"/>
        <v>0</v>
      </c>
      <c r="AC39" s="24">
        <f t="shared" si="8"/>
        <v>0</v>
      </c>
      <c r="AD39" s="24">
        <f t="shared" si="8"/>
        <v>0</v>
      </c>
      <c r="AE39" s="24">
        <f t="shared" si="8"/>
        <v>0</v>
      </c>
      <c r="AF39" s="24">
        <f t="shared" si="8"/>
        <v>0</v>
      </c>
      <c r="AG39" s="24">
        <f t="shared" si="8"/>
        <v>0</v>
      </c>
      <c r="AH39" s="24">
        <f t="shared" si="8"/>
        <v>0</v>
      </c>
      <c r="AI39" s="24">
        <f t="shared" si="8"/>
        <v>0</v>
      </c>
      <c r="AJ39" s="26">
        <f>SUM(E39:AI39)</f>
        <v>94</v>
      </c>
      <c r="AK39" s="16"/>
    </row>
    <row r="40" spans="1:40" x14ac:dyDescent="0.2">
      <c r="A40" s="18"/>
      <c r="C40" s="21"/>
      <c r="D40" s="21"/>
      <c r="AK40" s="16"/>
    </row>
    <row r="41" spans="1:40" x14ac:dyDescent="0.2">
      <c r="A41" s="18"/>
      <c r="C41" s="21"/>
      <c r="D41" s="25" t="s">
        <v>8</v>
      </c>
      <c r="E41" s="24">
        <f t="shared" ref="E41:AI41" si="9">E39*$D33</f>
        <v>210.18</v>
      </c>
      <c r="F41" s="24">
        <f t="shared" si="9"/>
        <v>210.18</v>
      </c>
      <c r="G41" s="24">
        <f t="shared" si="9"/>
        <v>210.18</v>
      </c>
      <c r="H41" s="24">
        <f t="shared" si="9"/>
        <v>210.18</v>
      </c>
      <c r="I41" s="24">
        <f t="shared" si="9"/>
        <v>280.24</v>
      </c>
      <c r="J41" s="24">
        <f t="shared" si="9"/>
        <v>210.18</v>
      </c>
      <c r="K41" s="24">
        <f t="shared" si="9"/>
        <v>210.18</v>
      </c>
      <c r="L41" s="24">
        <f t="shared" si="9"/>
        <v>210.18</v>
      </c>
      <c r="M41" s="24">
        <f t="shared" si="9"/>
        <v>210.18</v>
      </c>
      <c r="N41" s="24">
        <f t="shared" si="9"/>
        <v>210.18</v>
      </c>
      <c r="O41" s="24">
        <f t="shared" si="9"/>
        <v>210.18</v>
      </c>
      <c r="P41" s="24">
        <f t="shared" si="9"/>
        <v>280.24</v>
      </c>
      <c r="Q41" s="24">
        <f t="shared" si="9"/>
        <v>210.18</v>
      </c>
      <c r="R41" s="24">
        <f t="shared" si="9"/>
        <v>210.18</v>
      </c>
      <c r="S41" s="24">
        <f t="shared" si="9"/>
        <v>210.18</v>
      </c>
      <c r="T41" s="24">
        <f t="shared" si="9"/>
        <v>0</v>
      </c>
      <c r="U41" s="24">
        <f t="shared" si="9"/>
        <v>0</v>
      </c>
      <c r="V41" s="24">
        <f t="shared" si="9"/>
        <v>0</v>
      </c>
      <c r="W41" s="24">
        <f t="shared" si="9"/>
        <v>0</v>
      </c>
      <c r="X41" s="24">
        <f t="shared" si="9"/>
        <v>0</v>
      </c>
      <c r="Y41" s="24">
        <f t="shared" si="9"/>
        <v>0</v>
      </c>
      <c r="Z41" s="24">
        <f t="shared" si="9"/>
        <v>0</v>
      </c>
      <c r="AA41" s="24">
        <f t="shared" si="9"/>
        <v>0</v>
      </c>
      <c r="AB41" s="24">
        <f t="shared" si="9"/>
        <v>0</v>
      </c>
      <c r="AC41" s="24">
        <f t="shared" si="9"/>
        <v>0</v>
      </c>
      <c r="AD41" s="24">
        <f t="shared" si="9"/>
        <v>0</v>
      </c>
      <c r="AE41" s="24">
        <f t="shared" si="9"/>
        <v>0</v>
      </c>
      <c r="AF41" s="24">
        <f t="shared" si="9"/>
        <v>0</v>
      </c>
      <c r="AG41" s="24">
        <f t="shared" si="9"/>
        <v>0</v>
      </c>
      <c r="AH41" s="24">
        <f t="shared" si="9"/>
        <v>0</v>
      </c>
      <c r="AI41" s="24">
        <f t="shared" si="9"/>
        <v>0</v>
      </c>
      <c r="AJ41" s="23">
        <f>SUM(E41:AI41)</f>
        <v>3292.8199999999993</v>
      </c>
      <c r="AK41" s="22">
        <f>AJ39*$D33</f>
        <v>3292.82</v>
      </c>
    </row>
    <row r="42" spans="1:40" x14ac:dyDescent="0.2">
      <c r="A42" s="18"/>
      <c r="C42" s="21"/>
      <c r="D42" s="21"/>
      <c r="AK42" s="16"/>
    </row>
    <row r="43" spans="1:40" x14ac:dyDescent="0.2">
      <c r="A43" s="18"/>
      <c r="C43" s="21"/>
      <c r="D43" s="21" t="s">
        <v>9</v>
      </c>
      <c r="E43" s="1">
        <f t="shared" ref="E43:AI43" si="10">E34*$D33</f>
        <v>0</v>
      </c>
      <c r="F43" s="1">
        <f t="shared" si="10"/>
        <v>0</v>
      </c>
      <c r="G43" s="1">
        <f t="shared" si="10"/>
        <v>0</v>
      </c>
      <c r="H43" s="1">
        <f t="shared" si="10"/>
        <v>0</v>
      </c>
      <c r="I43" s="1">
        <f t="shared" si="10"/>
        <v>0</v>
      </c>
      <c r="J43" s="1">
        <f t="shared" si="10"/>
        <v>0</v>
      </c>
      <c r="K43" s="1">
        <f t="shared" si="10"/>
        <v>0</v>
      </c>
      <c r="L43" s="1">
        <f t="shared" si="10"/>
        <v>0</v>
      </c>
      <c r="M43" s="1">
        <f t="shared" si="10"/>
        <v>0</v>
      </c>
      <c r="N43" s="1">
        <f t="shared" si="10"/>
        <v>0</v>
      </c>
      <c r="O43" s="1">
        <f t="shared" si="10"/>
        <v>0</v>
      </c>
      <c r="P43" s="1">
        <f t="shared" si="10"/>
        <v>0</v>
      </c>
      <c r="Q43" s="1">
        <f t="shared" si="10"/>
        <v>0</v>
      </c>
      <c r="R43" s="1">
        <f t="shared" si="10"/>
        <v>0</v>
      </c>
      <c r="S43" s="1">
        <f t="shared" si="10"/>
        <v>0</v>
      </c>
      <c r="T43" s="1">
        <f t="shared" si="10"/>
        <v>0</v>
      </c>
      <c r="U43" s="1">
        <f t="shared" si="10"/>
        <v>0</v>
      </c>
      <c r="V43" s="1">
        <f t="shared" si="10"/>
        <v>0</v>
      </c>
      <c r="W43" s="1">
        <f t="shared" si="10"/>
        <v>0</v>
      </c>
      <c r="X43" s="1">
        <f t="shared" si="10"/>
        <v>0</v>
      </c>
      <c r="Y43" s="1">
        <f t="shared" si="10"/>
        <v>0</v>
      </c>
      <c r="Z43" s="1">
        <f t="shared" si="10"/>
        <v>0</v>
      </c>
      <c r="AA43" s="1">
        <f t="shared" si="10"/>
        <v>0</v>
      </c>
      <c r="AB43" s="1">
        <f t="shared" si="10"/>
        <v>0</v>
      </c>
      <c r="AC43" s="1">
        <f t="shared" si="10"/>
        <v>0</v>
      </c>
      <c r="AD43" s="1">
        <f t="shared" si="10"/>
        <v>0</v>
      </c>
      <c r="AE43" s="1">
        <f t="shared" si="10"/>
        <v>0</v>
      </c>
      <c r="AF43" s="1">
        <f t="shared" si="10"/>
        <v>0</v>
      </c>
      <c r="AG43" s="1">
        <f t="shared" si="10"/>
        <v>0</v>
      </c>
      <c r="AH43" s="1">
        <f t="shared" si="10"/>
        <v>0</v>
      </c>
      <c r="AI43" s="1">
        <f t="shared" si="10"/>
        <v>0</v>
      </c>
      <c r="AJ43" s="1">
        <f>SUM(E43:AI43)</f>
        <v>0</v>
      </c>
      <c r="AK43" s="16"/>
    </row>
    <row r="44" spans="1:40" x14ac:dyDescent="0.2">
      <c r="A44" s="18"/>
      <c r="C44" s="21"/>
      <c r="D44" s="21" t="s">
        <v>10</v>
      </c>
      <c r="E44" s="1">
        <f t="shared" ref="E44:AI44" si="11">E35*$D33</f>
        <v>210.18</v>
      </c>
      <c r="F44" s="1">
        <f t="shared" si="11"/>
        <v>210.18</v>
      </c>
      <c r="G44" s="1">
        <f t="shared" si="11"/>
        <v>210.18</v>
      </c>
      <c r="H44" s="1">
        <f t="shared" si="11"/>
        <v>210.18</v>
      </c>
      <c r="I44" s="1">
        <f t="shared" si="11"/>
        <v>280.24</v>
      </c>
      <c r="J44" s="1">
        <f t="shared" si="11"/>
        <v>210.18</v>
      </c>
      <c r="K44" s="1">
        <f t="shared" si="11"/>
        <v>210.18</v>
      </c>
      <c r="L44" s="1">
        <f t="shared" si="11"/>
        <v>210.18</v>
      </c>
      <c r="M44" s="1">
        <f t="shared" si="11"/>
        <v>210.18</v>
      </c>
      <c r="N44" s="1">
        <f t="shared" si="11"/>
        <v>210.18</v>
      </c>
      <c r="O44" s="1">
        <f t="shared" si="11"/>
        <v>210.18</v>
      </c>
      <c r="P44" s="1">
        <f t="shared" si="11"/>
        <v>280.24</v>
      </c>
      <c r="Q44" s="1">
        <f t="shared" si="11"/>
        <v>210.18</v>
      </c>
      <c r="R44" s="1">
        <f t="shared" si="11"/>
        <v>210.18</v>
      </c>
      <c r="S44" s="1">
        <f t="shared" si="11"/>
        <v>210.18</v>
      </c>
      <c r="T44" s="1">
        <f t="shared" si="11"/>
        <v>0</v>
      </c>
      <c r="U44" s="1">
        <f t="shared" si="11"/>
        <v>0</v>
      </c>
      <c r="V44" s="1">
        <f t="shared" si="11"/>
        <v>0</v>
      </c>
      <c r="W44" s="1">
        <f t="shared" si="11"/>
        <v>0</v>
      </c>
      <c r="X44" s="1">
        <f t="shared" si="11"/>
        <v>0</v>
      </c>
      <c r="Y44" s="1">
        <f t="shared" si="11"/>
        <v>0</v>
      </c>
      <c r="Z44" s="1">
        <f t="shared" si="11"/>
        <v>0</v>
      </c>
      <c r="AA44" s="1">
        <f t="shared" si="11"/>
        <v>0</v>
      </c>
      <c r="AB44" s="1">
        <f t="shared" si="11"/>
        <v>0</v>
      </c>
      <c r="AC44" s="1">
        <f t="shared" si="11"/>
        <v>0</v>
      </c>
      <c r="AD44" s="1">
        <f t="shared" si="11"/>
        <v>0</v>
      </c>
      <c r="AE44" s="1">
        <f t="shared" si="11"/>
        <v>0</v>
      </c>
      <c r="AF44" s="1">
        <f t="shared" si="11"/>
        <v>0</v>
      </c>
      <c r="AG44" s="1">
        <f t="shared" si="11"/>
        <v>0</v>
      </c>
      <c r="AH44" s="1">
        <f t="shared" si="11"/>
        <v>0</v>
      </c>
      <c r="AI44" s="1">
        <f t="shared" si="11"/>
        <v>0</v>
      </c>
      <c r="AJ44" s="1">
        <f>SUM(E44:AI44)</f>
        <v>3292.8199999999993</v>
      </c>
      <c r="AK44" s="16"/>
    </row>
    <row r="45" spans="1:40" x14ac:dyDescent="0.2">
      <c r="A45" s="18"/>
      <c r="C45" s="21"/>
      <c r="D45" s="21" t="s">
        <v>11</v>
      </c>
      <c r="E45" s="1">
        <f t="shared" ref="E45:AI45" si="12">E36*$D33</f>
        <v>0</v>
      </c>
      <c r="F45" s="1">
        <f t="shared" si="12"/>
        <v>0</v>
      </c>
      <c r="G45" s="1">
        <f t="shared" si="12"/>
        <v>0</v>
      </c>
      <c r="H45" s="1">
        <f t="shared" si="12"/>
        <v>0</v>
      </c>
      <c r="I45" s="1">
        <f t="shared" si="12"/>
        <v>0</v>
      </c>
      <c r="J45" s="1">
        <f t="shared" si="12"/>
        <v>0</v>
      </c>
      <c r="K45" s="1">
        <f t="shared" si="12"/>
        <v>0</v>
      </c>
      <c r="L45" s="1">
        <f t="shared" si="12"/>
        <v>0</v>
      </c>
      <c r="M45" s="1">
        <f t="shared" si="12"/>
        <v>0</v>
      </c>
      <c r="N45" s="1">
        <f t="shared" si="12"/>
        <v>0</v>
      </c>
      <c r="O45" s="1">
        <f t="shared" si="12"/>
        <v>0</v>
      </c>
      <c r="P45" s="1">
        <f t="shared" si="12"/>
        <v>0</v>
      </c>
      <c r="Q45" s="1">
        <f t="shared" si="12"/>
        <v>0</v>
      </c>
      <c r="R45" s="1">
        <f t="shared" si="12"/>
        <v>0</v>
      </c>
      <c r="S45" s="1">
        <f t="shared" si="12"/>
        <v>0</v>
      </c>
      <c r="T45" s="1">
        <f t="shared" si="12"/>
        <v>0</v>
      </c>
      <c r="U45" s="1">
        <f t="shared" si="12"/>
        <v>0</v>
      </c>
      <c r="V45" s="1">
        <f t="shared" si="12"/>
        <v>0</v>
      </c>
      <c r="W45" s="1">
        <f t="shared" si="12"/>
        <v>0</v>
      </c>
      <c r="X45" s="1">
        <f t="shared" si="12"/>
        <v>0</v>
      </c>
      <c r="Y45" s="1">
        <f t="shared" si="12"/>
        <v>0</v>
      </c>
      <c r="Z45" s="1">
        <f t="shared" si="12"/>
        <v>0</v>
      </c>
      <c r="AA45" s="1">
        <f t="shared" si="12"/>
        <v>0</v>
      </c>
      <c r="AB45" s="1">
        <f t="shared" si="12"/>
        <v>0</v>
      </c>
      <c r="AC45" s="1">
        <f t="shared" si="12"/>
        <v>0</v>
      </c>
      <c r="AD45" s="1">
        <f t="shared" si="12"/>
        <v>0</v>
      </c>
      <c r="AE45" s="1">
        <f t="shared" si="12"/>
        <v>0</v>
      </c>
      <c r="AF45" s="1">
        <f t="shared" si="12"/>
        <v>0</v>
      </c>
      <c r="AG45" s="1">
        <f t="shared" si="12"/>
        <v>0</v>
      </c>
      <c r="AH45" s="1">
        <f t="shared" si="12"/>
        <v>0</v>
      </c>
      <c r="AI45" s="1">
        <f t="shared" si="12"/>
        <v>0</v>
      </c>
      <c r="AJ45" s="1">
        <f>SUM(E45:AI45)</f>
        <v>0</v>
      </c>
      <c r="AK45" s="16"/>
    </row>
    <row r="46" spans="1:40" x14ac:dyDescent="0.2">
      <c r="A46" s="18"/>
      <c r="C46" s="21"/>
      <c r="D46" s="21" t="s">
        <v>22</v>
      </c>
      <c r="E46" s="1">
        <f t="shared" ref="E46:AI46" si="13">SUM(E43:E45)</f>
        <v>210.18</v>
      </c>
      <c r="F46" s="1">
        <f t="shared" si="13"/>
        <v>210.18</v>
      </c>
      <c r="G46" s="1">
        <f t="shared" si="13"/>
        <v>210.18</v>
      </c>
      <c r="H46" s="1">
        <f t="shared" si="13"/>
        <v>210.18</v>
      </c>
      <c r="I46" s="1">
        <f t="shared" si="13"/>
        <v>280.24</v>
      </c>
      <c r="J46" s="1">
        <f t="shared" si="13"/>
        <v>210.18</v>
      </c>
      <c r="K46" s="1">
        <f t="shared" si="13"/>
        <v>210.18</v>
      </c>
      <c r="L46" s="1">
        <f t="shared" si="13"/>
        <v>210.18</v>
      </c>
      <c r="M46" s="1">
        <f t="shared" si="13"/>
        <v>210.18</v>
      </c>
      <c r="N46" s="1">
        <f t="shared" si="13"/>
        <v>210.18</v>
      </c>
      <c r="O46" s="1">
        <f t="shared" si="13"/>
        <v>210.18</v>
      </c>
      <c r="P46" s="1">
        <f t="shared" si="13"/>
        <v>280.24</v>
      </c>
      <c r="Q46" s="1">
        <f t="shared" si="13"/>
        <v>210.18</v>
      </c>
      <c r="R46" s="1">
        <f t="shared" si="13"/>
        <v>210.18</v>
      </c>
      <c r="S46" s="1">
        <f t="shared" si="13"/>
        <v>210.18</v>
      </c>
      <c r="T46" s="1">
        <f t="shared" si="13"/>
        <v>0</v>
      </c>
      <c r="U46" s="1">
        <f t="shared" si="13"/>
        <v>0</v>
      </c>
      <c r="V46" s="1">
        <f t="shared" si="13"/>
        <v>0</v>
      </c>
      <c r="W46" s="1">
        <f t="shared" si="13"/>
        <v>0</v>
      </c>
      <c r="X46" s="1">
        <f t="shared" si="13"/>
        <v>0</v>
      </c>
      <c r="Y46" s="1">
        <f t="shared" si="13"/>
        <v>0</v>
      </c>
      <c r="Z46" s="1">
        <f t="shared" si="13"/>
        <v>0</v>
      </c>
      <c r="AA46" s="1">
        <f t="shared" si="13"/>
        <v>0</v>
      </c>
      <c r="AB46" s="1">
        <f t="shared" si="13"/>
        <v>0</v>
      </c>
      <c r="AC46" s="1">
        <f t="shared" si="13"/>
        <v>0</v>
      </c>
      <c r="AD46" s="1">
        <f t="shared" si="13"/>
        <v>0</v>
      </c>
      <c r="AE46" s="1">
        <f t="shared" si="13"/>
        <v>0</v>
      </c>
      <c r="AF46" s="1">
        <f t="shared" si="13"/>
        <v>0</v>
      </c>
      <c r="AG46" s="1">
        <f t="shared" si="13"/>
        <v>0</v>
      </c>
      <c r="AH46" s="1">
        <f t="shared" si="13"/>
        <v>0</v>
      </c>
      <c r="AI46" s="1">
        <f t="shared" si="13"/>
        <v>0</v>
      </c>
      <c r="AJ46" s="1">
        <f>SUM(E46:AI46)</f>
        <v>3292.8199999999993</v>
      </c>
      <c r="AK46" s="16"/>
    </row>
    <row r="47" spans="1:40" x14ac:dyDescent="0.2">
      <c r="A47" s="18"/>
      <c r="C47" s="21"/>
      <c r="D47" s="21"/>
      <c r="Q47" s="20" t="s">
        <v>21</v>
      </c>
      <c r="R47" s="19" t="s">
        <v>19</v>
      </c>
      <c r="S47" s="19" t="s">
        <v>18</v>
      </c>
      <c r="AG47" s="20" t="s">
        <v>20</v>
      </c>
      <c r="AH47" s="19" t="s">
        <v>19</v>
      </c>
      <c r="AI47" s="19" t="s">
        <v>18</v>
      </c>
      <c r="AK47" s="16"/>
    </row>
    <row r="48" spans="1:40" x14ac:dyDescent="0.2">
      <c r="A48" s="18"/>
      <c r="Q48" s="17" t="s">
        <v>17</v>
      </c>
      <c r="R48" s="1">
        <f>SUM(E34:S34)</f>
        <v>0</v>
      </c>
      <c r="S48" s="1">
        <f>SUM(E43:S43)</f>
        <v>0</v>
      </c>
      <c r="AG48" s="17" t="s">
        <v>17</v>
      </c>
      <c r="AH48" s="1">
        <f>SUM(T34:AI34)</f>
        <v>0</v>
      </c>
      <c r="AI48" s="1">
        <f>SUM(T43:AI43)</f>
        <v>0</v>
      </c>
      <c r="AK48" s="16"/>
    </row>
    <row r="49" spans="1:37" x14ac:dyDescent="0.2">
      <c r="A49" s="18"/>
      <c r="Q49" s="17" t="s">
        <v>16</v>
      </c>
      <c r="R49" s="1">
        <f>SUM(E35:S35)</f>
        <v>94</v>
      </c>
      <c r="S49" s="1">
        <f>SUM(E44:S44)</f>
        <v>3292.8199999999993</v>
      </c>
      <c r="AG49" s="17" t="s">
        <v>16</v>
      </c>
      <c r="AH49" s="1">
        <f>SUM(T35:AI35)</f>
        <v>0</v>
      </c>
      <c r="AI49" s="1">
        <f>SUM(T44:AI44)</f>
        <v>0</v>
      </c>
      <c r="AK49" s="16"/>
    </row>
    <row r="50" spans="1:37" x14ac:dyDescent="0.2">
      <c r="A50" s="18"/>
      <c r="Q50" s="17" t="s">
        <v>15</v>
      </c>
      <c r="R50" s="1">
        <f>SUM(E36:S36)</f>
        <v>0</v>
      </c>
      <c r="S50" s="1">
        <f>SUM(E45:S45)</f>
        <v>0</v>
      </c>
      <c r="AG50" s="17" t="s">
        <v>15</v>
      </c>
      <c r="AH50" s="1">
        <f>SUM(T36:AI36)</f>
        <v>0</v>
      </c>
      <c r="AI50" s="1">
        <f>SUM(T45:AI45)</f>
        <v>0</v>
      </c>
      <c r="AK50" s="16"/>
    </row>
    <row r="51" spans="1:37" ht="17" thickBot="1" x14ac:dyDescent="0.25">
      <c r="A51" s="15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 t="s">
        <v>14</v>
      </c>
      <c r="R51" s="13">
        <f>SUM(R48:R50)</f>
        <v>94</v>
      </c>
      <c r="S51" s="13">
        <f>SUM(S48:S50)</f>
        <v>3292.8199999999993</v>
      </c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4" t="s">
        <v>14</v>
      </c>
      <c r="AH51" s="13">
        <f>SUM(AH48:AH50)</f>
        <v>0</v>
      </c>
      <c r="AI51" s="13">
        <f>SUM(AI48:AI50)</f>
        <v>0</v>
      </c>
      <c r="AJ51" s="12"/>
      <c r="AK51" s="11"/>
    </row>
    <row r="54" spans="1:37" ht="17" thickBot="1" x14ac:dyDescent="0.25"/>
    <row r="55" spans="1:37" x14ac:dyDescent="0.2">
      <c r="A55" s="39">
        <v>5</v>
      </c>
      <c r="B55" s="38">
        <v>6</v>
      </c>
      <c r="C55" s="37">
        <v>345345</v>
      </c>
      <c r="D55" s="9"/>
      <c r="E55" s="36" t="s">
        <v>24</v>
      </c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35"/>
    </row>
    <row r="56" spans="1:37" x14ac:dyDescent="0.2">
      <c r="A56" s="34"/>
      <c r="B56" s="33"/>
      <c r="C56" s="47" t="s">
        <v>28</v>
      </c>
      <c r="AK56" s="16"/>
    </row>
    <row r="57" spans="1:37" x14ac:dyDescent="0.2">
      <c r="A57" s="32"/>
      <c r="B57" s="31" t="s">
        <v>0</v>
      </c>
      <c r="C57" s="19" t="s">
        <v>31</v>
      </c>
      <c r="D57" s="28" t="s">
        <v>1</v>
      </c>
      <c r="AK57" s="16"/>
    </row>
    <row r="58" spans="1:37" x14ac:dyDescent="0.2">
      <c r="A58" s="30"/>
      <c r="B58" s="29"/>
      <c r="C58" s="28"/>
      <c r="D58" s="28">
        <v>31</v>
      </c>
      <c r="AK58" s="16"/>
    </row>
    <row r="59" spans="1:37" x14ac:dyDescent="0.2">
      <c r="A59" s="18"/>
      <c r="C59" s="28" t="s">
        <v>2</v>
      </c>
      <c r="D59" s="28">
        <v>35.03</v>
      </c>
      <c r="AK59" s="16"/>
    </row>
    <row r="60" spans="1:37" x14ac:dyDescent="0.2">
      <c r="A60" s="18"/>
      <c r="B60" t="s">
        <v>3</v>
      </c>
      <c r="D60">
        <v>4.33</v>
      </c>
      <c r="AJ60" s="1">
        <f>SUM(E60:AI60)</f>
        <v>0</v>
      </c>
      <c r="AK60" s="16"/>
    </row>
    <row r="61" spans="1:37" x14ac:dyDescent="0.2">
      <c r="A61" s="18"/>
      <c r="B61" t="s">
        <v>23</v>
      </c>
      <c r="D61">
        <v>121.68</v>
      </c>
      <c r="E61" s="1">
        <v>7.5</v>
      </c>
      <c r="F61" s="1">
        <v>7.75</v>
      </c>
      <c r="G61" s="1">
        <v>5</v>
      </c>
      <c r="H61" s="1">
        <v>5</v>
      </c>
      <c r="I61" s="1">
        <v>7.5</v>
      </c>
      <c r="J61" s="1">
        <v>7.5</v>
      </c>
      <c r="K61" s="1">
        <v>7.5</v>
      </c>
      <c r="L61" s="1">
        <v>7.5</v>
      </c>
      <c r="M61" s="1">
        <v>7.75</v>
      </c>
      <c r="N61" s="1">
        <v>5</v>
      </c>
      <c r="O61" s="1">
        <v>5</v>
      </c>
      <c r="P61" s="1">
        <v>7.5</v>
      </c>
      <c r="Q61" s="1">
        <v>7.5</v>
      </c>
      <c r="R61" s="1">
        <v>7.5</v>
      </c>
      <c r="S61" s="1">
        <v>7.5</v>
      </c>
      <c r="AJ61" s="1">
        <f>SUM(E61:AI61)</f>
        <v>103</v>
      </c>
      <c r="AK61" s="16"/>
    </row>
    <row r="62" spans="1:37" x14ac:dyDescent="0.2">
      <c r="A62" s="18"/>
      <c r="B62" t="s">
        <v>4</v>
      </c>
      <c r="D62">
        <v>47.63</v>
      </c>
      <c r="AJ62" s="1">
        <f>SUM(E62:AI62)</f>
        <v>0</v>
      </c>
      <c r="AK62" s="27">
        <f>SUM(AJ60:AJ62)</f>
        <v>103</v>
      </c>
    </row>
    <row r="63" spans="1:37" x14ac:dyDescent="0.2">
      <c r="A63" s="18"/>
      <c r="B63">
        <f>SUM(D60:D62)</f>
        <v>173.64000000000001</v>
      </c>
      <c r="D63" t="s">
        <v>5</v>
      </c>
      <c r="AJ63" s="1">
        <f>SUM(E63:AI63)</f>
        <v>0</v>
      </c>
      <c r="AK63" s="16"/>
    </row>
    <row r="64" spans="1:37" x14ac:dyDescent="0.2">
      <c r="A64" s="18"/>
      <c r="B64" t="s">
        <v>6</v>
      </c>
      <c r="C64" s="21">
        <f>C55</f>
        <v>345345</v>
      </c>
      <c r="D64" s="21"/>
      <c r="AK64" s="16"/>
    </row>
    <row r="65" spans="1:37" x14ac:dyDescent="0.2">
      <c r="A65" s="18"/>
      <c r="C65" s="21"/>
      <c r="D65" s="21" t="s">
        <v>7</v>
      </c>
      <c r="E65" s="24">
        <f t="shared" ref="E65:AI65" si="14">SUM(E60:E63)</f>
        <v>7.5</v>
      </c>
      <c r="F65" s="24">
        <f t="shared" si="14"/>
        <v>7.75</v>
      </c>
      <c r="G65" s="24">
        <f t="shared" si="14"/>
        <v>5</v>
      </c>
      <c r="H65" s="24">
        <f t="shared" si="14"/>
        <v>5</v>
      </c>
      <c r="I65" s="24">
        <f t="shared" si="14"/>
        <v>7.5</v>
      </c>
      <c r="J65" s="24">
        <f t="shared" si="14"/>
        <v>7.5</v>
      </c>
      <c r="K65" s="24">
        <f t="shared" si="14"/>
        <v>7.5</v>
      </c>
      <c r="L65" s="24">
        <f t="shared" si="14"/>
        <v>7.5</v>
      </c>
      <c r="M65" s="24">
        <f t="shared" si="14"/>
        <v>7.75</v>
      </c>
      <c r="N65" s="24">
        <f t="shared" si="14"/>
        <v>5</v>
      </c>
      <c r="O65" s="24">
        <f t="shared" si="14"/>
        <v>5</v>
      </c>
      <c r="P65" s="24">
        <f t="shared" si="14"/>
        <v>7.5</v>
      </c>
      <c r="Q65" s="24">
        <f t="shared" si="14"/>
        <v>7.5</v>
      </c>
      <c r="R65" s="24">
        <f t="shared" si="14"/>
        <v>7.5</v>
      </c>
      <c r="S65" s="24">
        <f t="shared" si="14"/>
        <v>7.5</v>
      </c>
      <c r="T65" s="24">
        <f t="shared" si="14"/>
        <v>0</v>
      </c>
      <c r="U65" s="24">
        <f t="shared" si="14"/>
        <v>0</v>
      </c>
      <c r="V65" s="24">
        <f t="shared" si="14"/>
        <v>0</v>
      </c>
      <c r="W65" s="24">
        <f t="shared" si="14"/>
        <v>0</v>
      </c>
      <c r="X65" s="24">
        <f t="shared" si="14"/>
        <v>0</v>
      </c>
      <c r="Y65" s="24">
        <f t="shared" si="14"/>
        <v>0</v>
      </c>
      <c r="Z65" s="24">
        <f t="shared" si="14"/>
        <v>0</v>
      </c>
      <c r="AA65" s="24">
        <f t="shared" si="14"/>
        <v>0</v>
      </c>
      <c r="AB65" s="24">
        <f t="shared" si="14"/>
        <v>0</v>
      </c>
      <c r="AC65" s="24">
        <f t="shared" si="14"/>
        <v>0</v>
      </c>
      <c r="AD65" s="24">
        <f t="shared" si="14"/>
        <v>0</v>
      </c>
      <c r="AE65" s="24">
        <f t="shared" si="14"/>
        <v>0</v>
      </c>
      <c r="AF65" s="24">
        <f t="shared" si="14"/>
        <v>0</v>
      </c>
      <c r="AG65" s="24">
        <f t="shared" si="14"/>
        <v>0</v>
      </c>
      <c r="AH65" s="24">
        <f t="shared" si="14"/>
        <v>0</v>
      </c>
      <c r="AI65" s="24">
        <f t="shared" si="14"/>
        <v>0</v>
      </c>
      <c r="AJ65" s="26">
        <f>SUM(E65:AI65)</f>
        <v>103</v>
      </c>
      <c r="AK65" s="16"/>
    </row>
    <row r="66" spans="1:37" x14ac:dyDescent="0.2">
      <c r="A66" s="18"/>
      <c r="C66" s="21"/>
      <c r="D66" s="21"/>
      <c r="AK66" s="16"/>
    </row>
    <row r="67" spans="1:37" x14ac:dyDescent="0.2">
      <c r="A67" s="18"/>
      <c r="C67" s="21"/>
      <c r="D67" s="25" t="s">
        <v>8</v>
      </c>
      <c r="E67" s="24">
        <f t="shared" ref="E67:AI67" si="15">E65*$D59</f>
        <v>262.72500000000002</v>
      </c>
      <c r="F67" s="24">
        <f t="shared" si="15"/>
        <v>271.48250000000002</v>
      </c>
      <c r="G67" s="24">
        <f t="shared" si="15"/>
        <v>175.15</v>
      </c>
      <c r="H67" s="24">
        <f t="shared" si="15"/>
        <v>175.15</v>
      </c>
      <c r="I67" s="24">
        <f t="shared" si="15"/>
        <v>262.72500000000002</v>
      </c>
      <c r="J67" s="24">
        <f t="shared" si="15"/>
        <v>262.72500000000002</v>
      </c>
      <c r="K67" s="24">
        <f t="shared" si="15"/>
        <v>262.72500000000002</v>
      </c>
      <c r="L67" s="24">
        <f t="shared" si="15"/>
        <v>262.72500000000002</v>
      </c>
      <c r="M67" s="24">
        <f t="shared" si="15"/>
        <v>271.48250000000002</v>
      </c>
      <c r="N67" s="24">
        <f t="shared" si="15"/>
        <v>175.15</v>
      </c>
      <c r="O67" s="24">
        <f t="shared" si="15"/>
        <v>175.15</v>
      </c>
      <c r="P67" s="24">
        <f t="shared" si="15"/>
        <v>262.72500000000002</v>
      </c>
      <c r="Q67" s="24">
        <f t="shared" si="15"/>
        <v>262.72500000000002</v>
      </c>
      <c r="R67" s="24">
        <f t="shared" si="15"/>
        <v>262.72500000000002</v>
      </c>
      <c r="S67" s="24">
        <f t="shared" si="15"/>
        <v>262.72500000000002</v>
      </c>
      <c r="T67" s="24">
        <f t="shared" si="15"/>
        <v>0</v>
      </c>
      <c r="U67" s="24">
        <f t="shared" si="15"/>
        <v>0</v>
      </c>
      <c r="V67" s="24">
        <f t="shared" si="15"/>
        <v>0</v>
      </c>
      <c r="W67" s="24">
        <f t="shared" si="15"/>
        <v>0</v>
      </c>
      <c r="X67" s="24">
        <f t="shared" si="15"/>
        <v>0</v>
      </c>
      <c r="Y67" s="24">
        <f t="shared" si="15"/>
        <v>0</v>
      </c>
      <c r="Z67" s="24">
        <f t="shared" si="15"/>
        <v>0</v>
      </c>
      <c r="AA67" s="24">
        <f t="shared" si="15"/>
        <v>0</v>
      </c>
      <c r="AB67" s="24">
        <f t="shared" si="15"/>
        <v>0</v>
      </c>
      <c r="AC67" s="24">
        <f t="shared" si="15"/>
        <v>0</v>
      </c>
      <c r="AD67" s="24">
        <f t="shared" si="15"/>
        <v>0</v>
      </c>
      <c r="AE67" s="24">
        <f t="shared" si="15"/>
        <v>0</v>
      </c>
      <c r="AF67" s="24">
        <f t="shared" si="15"/>
        <v>0</v>
      </c>
      <c r="AG67" s="24">
        <f t="shared" si="15"/>
        <v>0</v>
      </c>
      <c r="AH67" s="24">
        <f t="shared" si="15"/>
        <v>0</v>
      </c>
      <c r="AI67" s="24">
        <f t="shared" si="15"/>
        <v>0</v>
      </c>
      <c r="AJ67" s="23">
        <f>SUM(E67:AI67)</f>
        <v>3608.0899999999997</v>
      </c>
      <c r="AK67" s="22">
        <f>AJ65*$D59</f>
        <v>3608.09</v>
      </c>
    </row>
    <row r="68" spans="1:37" x14ac:dyDescent="0.2">
      <c r="A68" s="18"/>
      <c r="C68" s="21"/>
      <c r="D68" s="21"/>
      <c r="AK68" s="16"/>
    </row>
    <row r="69" spans="1:37" x14ac:dyDescent="0.2">
      <c r="A69" s="18"/>
      <c r="C69" s="21"/>
      <c r="D69" s="21" t="s">
        <v>9</v>
      </c>
      <c r="E69" s="1">
        <f t="shared" ref="E69:AI69" si="16">E60*$D59</f>
        <v>0</v>
      </c>
      <c r="F69" s="1">
        <f t="shared" si="16"/>
        <v>0</v>
      </c>
      <c r="G69" s="1">
        <f t="shared" si="16"/>
        <v>0</v>
      </c>
      <c r="H69" s="1">
        <f t="shared" si="16"/>
        <v>0</v>
      </c>
      <c r="I69" s="1">
        <f t="shared" si="16"/>
        <v>0</v>
      </c>
      <c r="J69" s="1">
        <f t="shared" si="16"/>
        <v>0</v>
      </c>
      <c r="K69" s="1">
        <f t="shared" si="16"/>
        <v>0</v>
      </c>
      <c r="L69" s="1">
        <f t="shared" si="16"/>
        <v>0</v>
      </c>
      <c r="M69" s="1">
        <f t="shared" si="16"/>
        <v>0</v>
      </c>
      <c r="N69" s="1">
        <f t="shared" si="16"/>
        <v>0</v>
      </c>
      <c r="O69" s="1">
        <f t="shared" si="16"/>
        <v>0</v>
      </c>
      <c r="P69" s="1">
        <f t="shared" si="16"/>
        <v>0</v>
      </c>
      <c r="Q69" s="1">
        <f t="shared" si="16"/>
        <v>0</v>
      </c>
      <c r="R69" s="1">
        <f t="shared" si="16"/>
        <v>0</v>
      </c>
      <c r="S69" s="1">
        <f t="shared" si="16"/>
        <v>0</v>
      </c>
      <c r="T69" s="1">
        <f t="shared" si="16"/>
        <v>0</v>
      </c>
      <c r="U69" s="1">
        <f t="shared" si="16"/>
        <v>0</v>
      </c>
      <c r="V69" s="1">
        <f t="shared" si="16"/>
        <v>0</v>
      </c>
      <c r="W69" s="1">
        <f t="shared" si="16"/>
        <v>0</v>
      </c>
      <c r="X69" s="1">
        <f t="shared" si="16"/>
        <v>0</v>
      </c>
      <c r="Y69" s="1">
        <f t="shared" si="16"/>
        <v>0</v>
      </c>
      <c r="Z69" s="1">
        <f t="shared" si="16"/>
        <v>0</v>
      </c>
      <c r="AA69" s="1">
        <f t="shared" si="16"/>
        <v>0</v>
      </c>
      <c r="AB69" s="1">
        <f t="shared" si="16"/>
        <v>0</v>
      </c>
      <c r="AC69" s="1">
        <f t="shared" si="16"/>
        <v>0</v>
      </c>
      <c r="AD69" s="1">
        <f t="shared" si="16"/>
        <v>0</v>
      </c>
      <c r="AE69" s="1">
        <f t="shared" si="16"/>
        <v>0</v>
      </c>
      <c r="AF69" s="1">
        <f t="shared" si="16"/>
        <v>0</v>
      </c>
      <c r="AG69" s="1">
        <f t="shared" si="16"/>
        <v>0</v>
      </c>
      <c r="AH69" s="1">
        <f t="shared" si="16"/>
        <v>0</v>
      </c>
      <c r="AI69" s="1">
        <f t="shared" si="16"/>
        <v>0</v>
      </c>
      <c r="AJ69" s="1">
        <f>SUM(E69:AI69)</f>
        <v>0</v>
      </c>
      <c r="AK69" s="16"/>
    </row>
    <row r="70" spans="1:37" x14ac:dyDescent="0.2">
      <c r="A70" s="18"/>
      <c r="C70" s="21"/>
      <c r="D70" s="21" t="s">
        <v>10</v>
      </c>
      <c r="E70" s="1">
        <f t="shared" ref="E70:AI70" si="17">E61*$D59</f>
        <v>262.72500000000002</v>
      </c>
      <c r="F70" s="1">
        <f t="shared" si="17"/>
        <v>271.48250000000002</v>
      </c>
      <c r="G70" s="1">
        <f t="shared" si="17"/>
        <v>175.15</v>
      </c>
      <c r="H70" s="1">
        <f t="shared" si="17"/>
        <v>175.15</v>
      </c>
      <c r="I70" s="1">
        <f t="shared" si="17"/>
        <v>262.72500000000002</v>
      </c>
      <c r="J70" s="1">
        <f t="shared" si="17"/>
        <v>262.72500000000002</v>
      </c>
      <c r="K70" s="1">
        <f t="shared" si="17"/>
        <v>262.72500000000002</v>
      </c>
      <c r="L70" s="1">
        <f t="shared" si="17"/>
        <v>262.72500000000002</v>
      </c>
      <c r="M70" s="1">
        <f t="shared" si="17"/>
        <v>271.48250000000002</v>
      </c>
      <c r="N70" s="1">
        <f t="shared" si="17"/>
        <v>175.15</v>
      </c>
      <c r="O70" s="1">
        <f t="shared" si="17"/>
        <v>175.15</v>
      </c>
      <c r="P70" s="1">
        <f t="shared" si="17"/>
        <v>262.72500000000002</v>
      </c>
      <c r="Q70" s="1">
        <f t="shared" si="17"/>
        <v>262.72500000000002</v>
      </c>
      <c r="R70" s="1">
        <f t="shared" si="17"/>
        <v>262.72500000000002</v>
      </c>
      <c r="S70" s="1">
        <f t="shared" si="17"/>
        <v>262.72500000000002</v>
      </c>
      <c r="T70" s="1">
        <f t="shared" si="17"/>
        <v>0</v>
      </c>
      <c r="U70" s="1">
        <f t="shared" si="17"/>
        <v>0</v>
      </c>
      <c r="V70" s="1">
        <f t="shared" si="17"/>
        <v>0</v>
      </c>
      <c r="W70" s="1">
        <f t="shared" si="17"/>
        <v>0</v>
      </c>
      <c r="X70" s="1">
        <f t="shared" si="17"/>
        <v>0</v>
      </c>
      <c r="Y70" s="1">
        <f t="shared" si="17"/>
        <v>0</v>
      </c>
      <c r="Z70" s="1">
        <f t="shared" si="17"/>
        <v>0</v>
      </c>
      <c r="AA70" s="1">
        <f t="shared" si="17"/>
        <v>0</v>
      </c>
      <c r="AB70" s="1">
        <f t="shared" si="17"/>
        <v>0</v>
      </c>
      <c r="AC70" s="1">
        <f t="shared" si="17"/>
        <v>0</v>
      </c>
      <c r="AD70" s="1">
        <f t="shared" si="17"/>
        <v>0</v>
      </c>
      <c r="AE70" s="1">
        <f t="shared" si="17"/>
        <v>0</v>
      </c>
      <c r="AF70" s="1">
        <f t="shared" si="17"/>
        <v>0</v>
      </c>
      <c r="AG70" s="1">
        <f t="shared" si="17"/>
        <v>0</v>
      </c>
      <c r="AH70" s="1">
        <f t="shared" si="17"/>
        <v>0</v>
      </c>
      <c r="AI70" s="1">
        <f t="shared" si="17"/>
        <v>0</v>
      </c>
      <c r="AJ70" s="1">
        <f>SUM(E70:AI70)</f>
        <v>3608.0899999999997</v>
      </c>
      <c r="AK70" s="16"/>
    </row>
    <row r="71" spans="1:37" x14ac:dyDescent="0.2">
      <c r="A71" s="18"/>
      <c r="C71" s="21"/>
      <c r="D71" s="21" t="s">
        <v>11</v>
      </c>
      <c r="E71" s="1">
        <f t="shared" ref="E71:AI71" si="18">E62*$D59</f>
        <v>0</v>
      </c>
      <c r="F71" s="1">
        <f t="shared" si="18"/>
        <v>0</v>
      </c>
      <c r="G71" s="1">
        <f t="shared" si="18"/>
        <v>0</v>
      </c>
      <c r="H71" s="1">
        <f t="shared" si="18"/>
        <v>0</v>
      </c>
      <c r="I71" s="1">
        <f t="shared" si="18"/>
        <v>0</v>
      </c>
      <c r="J71" s="1">
        <f t="shared" si="18"/>
        <v>0</v>
      </c>
      <c r="K71" s="1">
        <f t="shared" si="18"/>
        <v>0</v>
      </c>
      <c r="L71" s="1">
        <f t="shared" si="18"/>
        <v>0</v>
      </c>
      <c r="M71" s="1">
        <f t="shared" si="18"/>
        <v>0</v>
      </c>
      <c r="N71" s="1">
        <f t="shared" si="18"/>
        <v>0</v>
      </c>
      <c r="O71" s="1">
        <f t="shared" si="18"/>
        <v>0</v>
      </c>
      <c r="P71" s="1">
        <f t="shared" si="18"/>
        <v>0</v>
      </c>
      <c r="Q71" s="1">
        <f t="shared" si="18"/>
        <v>0</v>
      </c>
      <c r="R71" s="1">
        <f t="shared" si="18"/>
        <v>0</v>
      </c>
      <c r="S71" s="1">
        <f t="shared" si="18"/>
        <v>0</v>
      </c>
      <c r="T71" s="1">
        <f t="shared" si="18"/>
        <v>0</v>
      </c>
      <c r="U71" s="1">
        <f t="shared" si="18"/>
        <v>0</v>
      </c>
      <c r="V71" s="1">
        <f t="shared" si="18"/>
        <v>0</v>
      </c>
      <c r="W71" s="1">
        <f t="shared" si="18"/>
        <v>0</v>
      </c>
      <c r="X71" s="1">
        <f t="shared" si="18"/>
        <v>0</v>
      </c>
      <c r="Y71" s="1">
        <f t="shared" si="18"/>
        <v>0</v>
      </c>
      <c r="Z71" s="1">
        <f t="shared" si="18"/>
        <v>0</v>
      </c>
      <c r="AA71" s="1">
        <f t="shared" si="18"/>
        <v>0</v>
      </c>
      <c r="AB71" s="1">
        <f t="shared" si="18"/>
        <v>0</v>
      </c>
      <c r="AC71" s="1">
        <f t="shared" si="18"/>
        <v>0</v>
      </c>
      <c r="AD71" s="1">
        <f t="shared" si="18"/>
        <v>0</v>
      </c>
      <c r="AE71" s="1">
        <f t="shared" si="18"/>
        <v>0</v>
      </c>
      <c r="AF71" s="1">
        <f t="shared" si="18"/>
        <v>0</v>
      </c>
      <c r="AG71" s="1">
        <f t="shared" si="18"/>
        <v>0</v>
      </c>
      <c r="AH71" s="1">
        <f t="shared" si="18"/>
        <v>0</v>
      </c>
      <c r="AI71" s="1">
        <f t="shared" si="18"/>
        <v>0</v>
      </c>
      <c r="AJ71" s="1">
        <f>SUM(E71:AI71)</f>
        <v>0</v>
      </c>
      <c r="AK71" s="16"/>
    </row>
    <row r="72" spans="1:37" x14ac:dyDescent="0.2">
      <c r="A72" s="18"/>
      <c r="C72" s="21"/>
      <c r="D72" s="21" t="s">
        <v>22</v>
      </c>
      <c r="E72" s="1">
        <f t="shared" ref="E72:AI72" si="19">SUM(E69:E71)</f>
        <v>262.72500000000002</v>
      </c>
      <c r="F72" s="1">
        <f t="shared" si="19"/>
        <v>271.48250000000002</v>
      </c>
      <c r="G72" s="1">
        <f t="shared" si="19"/>
        <v>175.15</v>
      </c>
      <c r="H72" s="1">
        <f t="shared" si="19"/>
        <v>175.15</v>
      </c>
      <c r="I72" s="1">
        <f t="shared" si="19"/>
        <v>262.72500000000002</v>
      </c>
      <c r="J72" s="1">
        <f t="shared" si="19"/>
        <v>262.72500000000002</v>
      </c>
      <c r="K72" s="1">
        <f t="shared" si="19"/>
        <v>262.72500000000002</v>
      </c>
      <c r="L72" s="1">
        <f t="shared" si="19"/>
        <v>262.72500000000002</v>
      </c>
      <c r="M72" s="1">
        <f t="shared" si="19"/>
        <v>271.48250000000002</v>
      </c>
      <c r="N72" s="1">
        <f t="shared" si="19"/>
        <v>175.15</v>
      </c>
      <c r="O72" s="1">
        <f t="shared" si="19"/>
        <v>175.15</v>
      </c>
      <c r="P72" s="1">
        <f t="shared" si="19"/>
        <v>262.72500000000002</v>
      </c>
      <c r="Q72" s="1">
        <f t="shared" si="19"/>
        <v>262.72500000000002</v>
      </c>
      <c r="R72" s="1">
        <f t="shared" si="19"/>
        <v>262.72500000000002</v>
      </c>
      <c r="S72" s="1">
        <f t="shared" si="19"/>
        <v>262.72500000000002</v>
      </c>
      <c r="T72" s="1">
        <f t="shared" si="19"/>
        <v>0</v>
      </c>
      <c r="U72" s="1">
        <f t="shared" si="19"/>
        <v>0</v>
      </c>
      <c r="V72" s="1">
        <f t="shared" si="19"/>
        <v>0</v>
      </c>
      <c r="W72" s="1">
        <f t="shared" si="19"/>
        <v>0</v>
      </c>
      <c r="X72" s="1">
        <f t="shared" si="19"/>
        <v>0</v>
      </c>
      <c r="Y72" s="1">
        <f t="shared" si="19"/>
        <v>0</v>
      </c>
      <c r="Z72" s="1">
        <f t="shared" si="19"/>
        <v>0</v>
      </c>
      <c r="AA72" s="1">
        <f t="shared" si="19"/>
        <v>0</v>
      </c>
      <c r="AB72" s="1">
        <f t="shared" si="19"/>
        <v>0</v>
      </c>
      <c r="AC72" s="1">
        <f t="shared" si="19"/>
        <v>0</v>
      </c>
      <c r="AD72" s="1">
        <f t="shared" si="19"/>
        <v>0</v>
      </c>
      <c r="AE72" s="1">
        <f t="shared" si="19"/>
        <v>0</v>
      </c>
      <c r="AF72" s="1">
        <f t="shared" si="19"/>
        <v>0</v>
      </c>
      <c r="AG72" s="1">
        <f t="shared" si="19"/>
        <v>0</v>
      </c>
      <c r="AH72" s="1">
        <f t="shared" si="19"/>
        <v>0</v>
      </c>
      <c r="AI72" s="1">
        <f t="shared" si="19"/>
        <v>0</v>
      </c>
      <c r="AJ72" s="1">
        <f>SUM(E72:AI72)</f>
        <v>3608.0899999999997</v>
      </c>
      <c r="AK72" s="16"/>
    </row>
    <row r="73" spans="1:37" x14ac:dyDescent="0.2">
      <c r="A73" s="18"/>
      <c r="C73" s="21"/>
      <c r="D73" s="21"/>
      <c r="Q73" s="20" t="s">
        <v>21</v>
      </c>
      <c r="R73" s="19" t="s">
        <v>19</v>
      </c>
      <c r="S73" s="19" t="s">
        <v>18</v>
      </c>
      <c r="AG73" s="20" t="s">
        <v>20</v>
      </c>
      <c r="AH73" s="19" t="s">
        <v>19</v>
      </c>
      <c r="AI73" s="19" t="s">
        <v>18</v>
      </c>
      <c r="AK73" s="16"/>
    </row>
    <row r="74" spans="1:37" x14ac:dyDescent="0.2">
      <c r="A74" s="18"/>
      <c r="Q74" s="17" t="s">
        <v>17</v>
      </c>
      <c r="R74" s="1">
        <f>SUM(E60:S60)</f>
        <v>0</v>
      </c>
      <c r="S74" s="1">
        <f>SUM(E69:S69)</f>
        <v>0</v>
      </c>
      <c r="AG74" s="17" t="s">
        <v>17</v>
      </c>
      <c r="AH74" s="1">
        <f>SUM(T60:AI60)</f>
        <v>0</v>
      </c>
      <c r="AI74" s="1">
        <f>SUM(T69:AI69)</f>
        <v>0</v>
      </c>
      <c r="AK74" s="16"/>
    </row>
    <row r="75" spans="1:37" x14ac:dyDescent="0.2">
      <c r="A75" s="18"/>
      <c r="Q75" s="17" t="s">
        <v>16</v>
      </c>
      <c r="R75" s="1">
        <f>SUM(E61:S61)</f>
        <v>103</v>
      </c>
      <c r="S75" s="1">
        <f>SUM(E70:S70)</f>
        <v>3608.0899999999997</v>
      </c>
      <c r="AG75" s="17" t="s">
        <v>16</v>
      </c>
      <c r="AH75" s="1">
        <f>SUM(T61:AI61)</f>
        <v>0</v>
      </c>
      <c r="AI75" s="1">
        <f>SUM(T70:AI70)</f>
        <v>0</v>
      </c>
      <c r="AK75" s="16"/>
    </row>
    <row r="76" spans="1:37" x14ac:dyDescent="0.2">
      <c r="A76" s="18"/>
      <c r="Q76" s="17" t="s">
        <v>15</v>
      </c>
      <c r="R76" s="1">
        <f>SUM(E62:S62)</f>
        <v>0</v>
      </c>
      <c r="S76" s="1">
        <f>SUM(E71:S71)</f>
        <v>0</v>
      </c>
      <c r="AG76" s="17" t="s">
        <v>15</v>
      </c>
      <c r="AH76" s="1">
        <f>SUM(T62:AI62)</f>
        <v>0</v>
      </c>
      <c r="AI76" s="1">
        <f>SUM(T71:AI71)</f>
        <v>0</v>
      </c>
      <c r="AK76" s="16"/>
    </row>
    <row r="77" spans="1:37" ht="17" thickBot="1" x14ac:dyDescent="0.25">
      <c r="A77" s="15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 t="s">
        <v>14</v>
      </c>
      <c r="R77" s="13">
        <f>SUM(R74:R76)</f>
        <v>103</v>
      </c>
      <c r="S77" s="13">
        <f>SUM(S74:S76)</f>
        <v>3608.0899999999997</v>
      </c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4" t="s">
        <v>14</v>
      </c>
      <c r="AH77" s="13">
        <f>SUM(AH74:AH76)</f>
        <v>0</v>
      </c>
      <c r="AI77" s="13">
        <f>SUM(AI74:AI76)</f>
        <v>0</v>
      </c>
      <c r="AJ77" s="12"/>
      <c r="AK77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Cho</dc:creator>
  <cp:lastModifiedBy>Matthew Cho</cp:lastModifiedBy>
  <dcterms:created xsi:type="dcterms:W3CDTF">2026-09-29T03:35:27Z</dcterms:created>
  <dcterms:modified xsi:type="dcterms:W3CDTF">2026-10-21T20:57:53Z</dcterms:modified>
</cp:coreProperties>
</file>